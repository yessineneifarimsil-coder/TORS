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4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0.xml" ContentType="application/vnd.openxmlformats-officedocument.spreadsheetml.table+xml"/>
  <Override PartName="/xl/worksheets/sheet19.xml" ContentType="application/vnd.openxmlformats-officedocument.spreadsheetml.worksheet+xml"/>
  <Override PartName="/xl/tables/table11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ables/table12.xml" ContentType="application/vnd.openxmlformats-officedocument.spreadsheetml.table+xml"/>
  <Override PartName="/xl/worksheets/sheet22.xml" ContentType="application/vnd.openxmlformats-officedocument.spreadsheetml.worksheet+xml"/>
  <Override PartName="/xl/tables/table13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ME" sheetId="1" state="visible" r:id="rId1"/>
    <sheet name="LITERATURE_METHODS" sheetId="2" state="visible" r:id="rId2"/>
    <sheet name="ROUTING_STRATEGIES" sheetId="3" state="visible" r:id="rId3"/>
    <sheet name="EQUATIONS_TRACEABILITY" sheetId="4" state="visible" r:id="rId4"/>
    <sheet name="NETWORK" sheetId="5" state="visible" r:id="rId5"/>
    <sheet name="SCENARIO_DESIGN" sheetId="6" state="visible" r:id="rId6"/>
    <sheet name="RAW_PERFORMANCE" sheetId="7" state="visible" r:id="rId7"/>
    <sheet name="CRITERIA_SELECTION" sheetId="8" state="visible" r:id="rId8"/>
    <sheet name="DECISION_MATRIX" sheetId="9" state="visible" r:id="rId9"/>
    <sheet name="NORMALIZATION" sheetId="10" state="visible" r:id="rId10"/>
    <sheet name="WEIGHTS" sheetId="11" state="visible" r:id="rId11"/>
    <sheet name="MCDM_CALCULATION" sheetId="12" state="visible" r:id="rId12"/>
    <sheet name="MCDM_METHOD_COMPARISON" sheetId="13" state="visible" r:id="rId13"/>
    <sheet name="SENSITIVITY" sheetId="14" state="visible" r:id="rId14"/>
    <sheet name="ML_SELECTION" sheetId="15" state="visible" r:id="rId15"/>
    <sheet name="ROBUSTNESS" sheetId="16" state="visible" r:id="rId16"/>
    <sheet name="WORKED_EXAMPLE" sheetId="17" state="visible" r:id="rId17"/>
    <sheet name="PILOT_RESULTS" sheetId="18" state="visible" r:id="rId18"/>
    <sheet name="REDESIGN_RESULTS" sheetId="19" state="visible" r:id="rId19"/>
    <sheet name="VALIDATION" sheetId="20" state="visible" r:id="rId20"/>
    <sheet name="DATA_DICTIONARY" sheetId="21" state="visible" r:id="rId21"/>
    <sheet name="SOURCES" sheetId="22" state="visible" r:id="rId22"/>
    <sheet name="REGIME_TRANSITION" sheetId="23" state="visible" r:id="rId23"/>
    <sheet name="DECISION_EVALUATION" sheetId="24" state="visible" r:id="rId24"/>
    <sheet name="NEGATIVE_CONTROLS" sheetId="25" state="visible" r:id="rId25"/>
  </sheets>
  <definedNames/>
</workbook>
</file>

<file path=xl/styles.xml><?xml version="1.0" encoding="utf-8"?>
<styleSheet xmlns="http://schemas.openxmlformats.org/spreadsheetml/2006/main">
  <numFmts count="4">
    <numFmt numFmtId="164" formatCode="0.000"/>
    <numFmt numFmtId="165" formatCode="0.0%"/>
    <numFmt numFmtId="166" formatCode="0.000000"/>
    <numFmt numFmtId="167" formatCode="0.0000"/>
  </numFmts>
  <fonts count="9">
    <font>
      <name val="Carlito"/>
      <sz val="11"/>
    </font>
    <font>
      <name val="Arial"/>
      <color rgb="FF23344A"/>
      <sz val="10"/>
    </font>
    <font>
      <name val="Arial"/>
      <b val="1"/>
      <color rgb="FF18354D"/>
      <sz val="18"/>
    </font>
    <font>
      <name val="Arial"/>
      <i val="1"/>
      <color rgb="FF536578"/>
      <sz val="10"/>
    </font>
    <font>
      <name val="Arial"/>
      <b val="1"/>
      <color rgb="FFFFFFFF"/>
      <sz val="10"/>
    </font>
    <font>
      <name val="Arial"/>
      <color rgb="FF1B6597"/>
      <sz val="10"/>
    </font>
    <font>
      <name val="Arial"/>
      <b val="1"/>
      <color rgb="FF1B6597"/>
      <sz val="14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FF18354D"/>
      </patternFill>
    </fill>
    <fill>
      <patternFill patternType="solid">
        <fgColor rgb="FFDFF0E6"/>
      </patternFill>
    </fill>
    <fill>
      <patternFill patternType="solid">
        <fgColor rgb="FFEAF2FA"/>
      </patternFill>
    </fill>
    <fill>
      <patternFill patternType="solid">
        <fgColor rgb="FFFFF0C5"/>
      </patternFill>
    </fill>
    <fill>
      <patternFill patternType="solid">
        <fgColor rgb="FFEEE3F6"/>
      </patternFill>
    </fill>
  </fills>
  <borders count="1">
    <border/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164" fontId="1" fillId="3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" fontId="1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164" fontId="5" fillId="4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165" fontId="1" fillId="5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5" fontId="4" fillId="2" borderId="0" applyAlignment="1" pivotButton="0" quotePrefix="0" xfId="0">
      <alignment vertical="center" wrapText="1"/>
    </xf>
    <xf numFmtId="166" fontId="5" fillId="0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166" fontId="5" fillId="4" borderId="0" applyAlignment="1" pivotButton="0" quotePrefix="0" xfId="0">
      <alignment vertical="center"/>
    </xf>
    <xf numFmtId="1" fontId="5" fillId="4" borderId="0" applyAlignment="1" pivotButton="0" quotePrefix="0" xfId="0">
      <alignment vertical="center"/>
    </xf>
    <xf numFmtId="167" fontId="1" fillId="0" borderId="0" applyAlignment="1" pivotButton="0" quotePrefix="0" xfId="0">
      <alignment vertical="center"/>
    </xf>
    <xf numFmtId="167" fontId="5" fillId="0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5" borderId="0" applyAlignment="1" pivotButton="0" quotePrefix="0" xfId="0">
      <alignment vertical="center" wrapText="1"/>
    </xf>
    <xf numFmtId="164" fontId="1" fillId="3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165" fontId="1" fillId="5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5" fontId="4" fillId="2" borderId="0" applyAlignment="1" pivotButton="0" quotePrefix="0" xfId="0">
      <alignment vertical="center" wrapText="1"/>
    </xf>
    <xf numFmtId="166" fontId="5" fillId="4" borderId="0" applyAlignment="1" pivotButton="0" quotePrefix="0" xfId="0">
      <alignment vertical="center"/>
    </xf>
    <xf numFmtId="1" fontId="5" fillId="4" borderId="0" applyAlignment="1" pivotButton="0" quotePrefix="0" xfId="0">
      <alignment vertical="center"/>
    </xf>
    <xf numFmtId="167" fontId="1" fillId="0" borderId="0" applyAlignment="1" pivotButton="0" quotePrefix="0" xfId="0">
      <alignment vertical="center"/>
    </xf>
    <xf numFmtId="167" fontId="5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164" fontId="5" fillId="4" borderId="0" applyAlignment="1" pivotButton="0" quotePrefix="0" xfId="0">
      <alignment vertical="center"/>
    </xf>
    <xf numFmtId="1" fontId="1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/>
  </cellStyles>
  <dxfs count="1">
    <dxf>
      <fill>
        <patternFill patternType="solid">
          <bgColor rgb="FFDFF0E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sz="975"/>
              <a:t>Observed development decision costs</a:t>
            </a:r>
          </a:p>
        </rich>
      </tx>
      <overlay val="0"/>
      <txPr>
        <a:bodyPr anchorCtr="1"/>
        <a:lstStyle/>
        <a:p>
          <a:pPr>
            <a:defRPr sz="975"/>
          </a:pPr>
          <a:r>
            <a:t/>
          </a:r>
        </a:p>
      </txPr>
    </title>
    <plotArea>
      <barChart>
        <barDir val="col"/>
        <grouping val="clustered"/>
        <varyColors val="0"/>
        <ser>
          <idx val="0"/>
          <order val="0"/>
          <tx>
            <v>Final cost</v>
          </tx>
          <spPr>
            <a:ln>
              <a:prstDash val="solid"/>
            </a:ln>
          </spPr>
          <cat>
            <strRef>
              <f>'MCDM_CALCULATION'!$A$16:$A$19</f>
              <strCache>
                <ptCount val="0"/>
              </strCache>
            </strRef>
          </cat>
          <val>
            <numRef>
              <f>'MCDM_CALCULATION'!$B$16:$B$19</f>
              <numCache>
                <formatCode>0.00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Offset val="10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0.00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w="9525">
      <a:solidFill>
        <a:srgbClr val="D9D9D9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sz="975"/>
              <a:t>VIKOR Q — lower is better</a:t>
            </a:r>
          </a:p>
        </rich>
      </tx>
      <overlay val="0"/>
      <txPr>
        <a:bodyPr anchorCtr="1"/>
        <a:lstStyle/>
        <a:p>
          <a:pPr>
            <a:defRPr sz="975"/>
          </a:pPr>
          <a:r>
            <a:t/>
          </a:r>
        </a:p>
      </txPr>
    </title>
    <plotArea>
      <barChart>
        <barDir val="col"/>
        <grouping val="clustered"/>
        <varyColors val="0"/>
        <ser>
          <idx val="0"/>
          <order val="0"/>
          <tx>
            <v>Q score</v>
          </tx>
          <spPr>
            <a:ln>
              <a:prstDash val="solid"/>
            </a:ln>
          </spPr>
          <cat>
            <strRef>
              <f>'MCDM_METHOD_COMPARISON'!$A$23:$A$26</f>
              <strCache>
                <ptCount val="0"/>
              </strCache>
            </strRef>
          </cat>
          <val>
            <numRef>
              <f>'MCDM_METHOD_COMPARISON'!$B$23:$B$26</f>
              <numCache>
                <formatCode>0.00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Offset val="10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0.00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w="9525">
      <a:solidFill>
        <a:srgbClr val="D9D9D9"/>
      </a:solidFill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sz="975"/>
              <a:t>Weight sensitivity</a:t>
            </a:r>
          </a:p>
        </rich>
      </tx>
      <overlay val="0"/>
      <txPr>
        <a:bodyPr anchorCtr="1"/>
        <a:lstStyle/>
        <a:p>
          <a:pPr>
            <a:defRPr sz="975"/>
          </a:pPr>
          <a:r>
            <a:t/>
          </a:r>
        </a:p>
      </txPr>
    </title>
    <plotArea>
      <lineChart>
        <grouping val="standard"/>
        <varyColors val="0"/>
        <ser>
          <idx val="0"/>
          <order val="0"/>
          <tx>
            <v>SP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'SENSITIVITY'!$A$18:$A$38</f>
              <strCache>
                <ptCount val="0"/>
              </strCache>
            </strRef>
          </cat>
          <val>
            <numRef>
              <f>'SENSITIVITY'!$C$18:$C$38</f>
              <numCache>
                <formatCode>0.00</formatCode>
                <ptCount val="0"/>
              </numCache>
            </numRef>
          </val>
          <smooth val="0"/>
        </ser>
        <ser>
          <idx val="1"/>
          <order val="1"/>
          <tx>
            <v>DTT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'SENSITIVITY'!$A$18:$A$38</f>
              <strCache>
                <ptCount val="0"/>
              </strCache>
            </strRef>
          </cat>
          <val>
            <numRef>
              <f>'SENSITIVITY'!$D$18:$D$38</f>
              <numCache>
                <formatCode>0.00</formatCode>
                <ptCount val="0"/>
              </numCache>
            </numRef>
          </val>
          <smooth val="0"/>
        </ser>
        <ser>
          <idx val="2"/>
          <order val="2"/>
          <tx>
            <v>ECO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'SENSITIVITY'!$A$18:$A$38</f>
              <strCache>
                <ptCount val="0"/>
              </strCache>
            </strRef>
          </cat>
          <val>
            <numRef>
              <f>'SENSITIVITY'!$E$18:$E$38</f>
              <numCache>
                <formatCode>0.00</formatCode>
                <ptCount val="0"/>
              </numCache>
            </numRef>
          </val>
          <smooth val="0"/>
        </ser>
        <ser>
          <idx val="3"/>
          <order val="3"/>
          <tx>
            <v>TECO10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'SENSITIVITY'!$A$18:$A$38</f>
              <strCache>
                <ptCount val="0"/>
              </strCache>
            </strRef>
          </cat>
          <val>
            <numRef>
              <f>'SENSITIVITY'!$F$18:$F$38</f>
              <numCache>
                <formatCode>0.00</formatCode>
                <ptCount val="0"/>
              </numCache>
            </numRef>
          </val>
          <smooth val="0"/>
        </ser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Offset val="10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0.00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w="9525">
      <a:solidFill>
        <a:srgbClr val="D9D9D9"/>
      </a:solidFill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sz="975"/>
              <a:t>Mean and worst development regret</a:t>
            </a:r>
          </a:p>
        </rich>
      </tx>
      <overlay val="0"/>
      <txPr>
        <a:bodyPr anchorCtr="1"/>
        <a:lstStyle/>
        <a:p>
          <a:pPr>
            <a:defRPr sz="975"/>
          </a:pPr>
          <a:r>
            <a:t/>
          </a:r>
        </a:p>
      </txPr>
    </title>
    <plotArea>
      <barChart>
        <barDir val="col"/>
        <grouping val="clustered"/>
        <varyColors val="0"/>
        <ser>
          <idx val="0"/>
          <order val="0"/>
          <tx>
            <v>Mean regret</v>
          </tx>
          <spPr>
            <a:ln>
              <a:prstDash val="solid"/>
            </a:ln>
          </spPr>
          <cat>
            <strRef>
              <f>'ROBUSTNESS'!$A$36:$A$39</f>
              <strCache>
                <ptCount val="0"/>
              </strCache>
            </strRef>
          </cat>
          <val>
            <numRef>
              <f>'ROBUSTNESS'!$C$36:$C$39</f>
              <numCache>
                <formatCode>0.00</formatCode>
                <ptCount val="0"/>
              </numCache>
            </numRef>
          </val>
        </ser>
        <ser>
          <idx val="1"/>
          <order val="1"/>
          <tx>
            <v>Maximum regret</v>
          </tx>
          <spPr>
            <a:ln>
              <a:prstDash val="solid"/>
            </a:ln>
          </spPr>
          <cat>
            <strRef>
              <f>'ROBUSTNESS'!$A$36:$A$39</f>
              <strCache>
                <ptCount val="0"/>
              </strCache>
            </strRef>
          </cat>
          <val>
            <numRef>
              <f>'ROBUSTNESS'!$D$36:$D$39</f>
              <numCache>
                <formatCode>0.00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Offset val="10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0.00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0</colOff>
      <row>14</row>
      <rowOff>0</rowOff>
    </from>
    <to>
      <col>14</col>
      <colOff>0</colOff>
      <row>31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0</colOff>
      <row>14</row>
      <rowOff>0</rowOff>
    </from>
    <to>
      <col>13</col>
      <colOff>0</colOff>
      <row>31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0</colOff>
      <row>16</row>
      <rowOff>0</rowOff>
    </from>
    <to>
      <col>15</col>
      <colOff>0</colOff>
      <row>36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0</colOff>
      <row>34</row>
      <rowOff>0</rowOff>
    </from>
    <to>
      <col>14</col>
      <colOff>0</colOff>
      <row>53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LITERATUREMETHODS7" displayName="LITERATUREMETHODS7" ref="A7:K13" headerRowCount="1" totalsRowCount="0" totalsRowShown="0">
  <autoFilter ref="A7:K13"/>
  <tableColumns count="11">
    <tableColumn id="1" name="Method"/>
    <tableColumn id="2" name="Primary source"/>
    <tableColumn id="3" name="Normalization"/>
    <tableColumn id="4" name="Weights"/>
    <tableColumn id="5" name="Ranking"/>
    <tableColumn id="6" name="Assumptions"/>
    <tableColumn id="7" name="Excel difficulty"/>
    <tableColumn id="8" name="Role"/>
    <tableColumn id="9" name="Why / value"/>
    <tableColumn id="10" name="Limitation"/>
    <tableColumn id="11" name="Transportation conne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OUTINGSTRATEGIES7" displayName="ROUTINGSTRATEGIES7" ref="A7:L11" headerRowCount="1" totalsRowCount="0" totalsRowShown="0">
  <autoFilter ref="A7:L11"/>
  <tableColumns count="12">
    <tableColumn id="1" name="Policy"/>
    <tableColumn id="2" name="Source"/>
    <tableColumn id="3" name="Objective"/>
    <tableColumn id="4" name="Inputs"/>
    <tableColumn id="5" name="Selection rule"/>
    <tableColumn id="6" name="Timing"/>
    <tableColumn id="7" name="Traffic information"/>
    <tableColumn id="8" name="Environmental information"/>
    <tableColumn id="9" name="SUMO adaptation"/>
    <tableColumn id="10" name="Expected strength"/>
    <tableColumn id="11" name="Limitation"/>
    <tableColumn id="12" name="Literature versus adapt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QUATIONSTRACEABILITY7" displayName="EQUATIONSTRACEABILITY7" ref="A7:G21" headerRowCount="1" totalsRowCount="0" totalsRowShown="0">
  <autoFilter ref="A7:G21"/>
  <tableColumns count="7">
    <tableColumn id="1" name="ID"/>
    <tableColumn id="2" name="Concept"/>
    <tableColumn id="3" name="Source / location"/>
    <tableColumn id="4" name="Standard concept"/>
    <tableColumn id="5" name="Our adaptation"/>
    <tableColumn id="6" name="Code / Excel location"/>
    <tableColumn id="7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NETWORK7" displayName="NETWORK7" ref="A7:G10" headerRowCount="1" totalsRowCount="0" totalsRowShown="0">
  <autoFilter ref="A7:G10"/>
  <tableColumns count="7">
    <tableColumn id="1" name="Candidate"/>
    <tableColumn id="2" name="Core junctions"/>
    <tableColumn id="3" name="Directed core links"/>
    <tableColumn id="4" name="Simple graph paths"/>
    <tableColumn id="5" name="Min core length (m)"/>
    <tableColumn id="6" name="Max core length (m)"/>
    <tableColumn id="7" name="Evidence 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NETWORK19" displayName="NETWORK19" ref="A19:F66" headerRowCount="1" totalsRowCount="0" totalsRowShown="0">
  <autoFilter ref="A19:F66"/>
  <tableColumns count="6">
    <tableColumn id="1" name="External link"/>
    <tableColumn id="2" name="From"/>
    <tableColumn id="3" name="To"/>
    <tableColumn id="4" name="Lanes"/>
    <tableColumn id="5" name="Speed (km/h)"/>
    <tableColumn id="6" name="Requested length (m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NETWORK70" displayName="NETWORK70" ref="A70:D103" headerRowCount="1" totalsRowCount="0" totalsRowShown="0">
  <autoFilter ref="A70:D103"/>
  <tableColumns count="4">
    <tableColumn id="1" name="Route"/>
    <tableColumn id="2" name="Primary?"/>
    <tableColumn id="3" name="Length incl. connectors (m)"/>
    <tableColumn id="4" name="External edge sequenc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CENARIODESIGN7" displayName="SCENARIODESIGN7" ref="A7:J171" headerRowCount="1" totalsRowCount="0" totalsRowShown="0">
  <autoFilter ref="A7:J171"/>
  <tableColumns count="10">
    <tableColumn id="1" name="Context"/>
    <tableColumn id="2" name="Primary (veh/h)"/>
    <tableColumn id="3" name="Background / stream (veh/h)"/>
    <tableColumn id="4" name="Restriction location"/>
    <tableColumn id="5" name="Speed ratio"/>
    <tableColumn id="6" name="Signal"/>
    <tableColumn id="7" name="Allocation"/>
    <tableColumn id="8" name="Repetitions"/>
    <tableColumn id="9" name="Outcome status"/>
    <tableColumn id="10" name="Knowledge at selec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AWPERFORMANCE7" displayName="RAWPERFORMANCE7" ref="A7:W439" headerRowCount="1" totalsRowCount="0" totalsRowShown="0">
  <autoFilter ref="A7:W439"/>
  <tableColumns count="23">
    <tableColumn id="1" name="Key"/>
    <tableColumn id="2" name="Context"/>
    <tableColumn id="3" name="Setting"/>
    <tableColumn id="4" name="Seed"/>
    <tableColumn id="5" name="Primary n"/>
    <tableColumn id="6" name="Mean journey (s)"/>
    <tableColumn id="7" name="CO2 (g/veh)"/>
    <tableColumn id="8" name="Distance (m)"/>
    <tableColumn id="9" name="P95 journey (s)"/>
    <tableColumn id="10" name="Insertion (s)"/>
    <tableColumn id="11" name="BG journey (s)"/>
    <tableColumn id="12" name="BG CO2 (g/veh)"/>
    <tableColumn id="13" name="Network cohort CO2 (g)"/>
    <tableColumn id="14" name="Stopped vehicle-time (veh-s)"/>
    <tableColumn id="15" name="Default link fraction"/>
    <tableColumn id="16" name="CO2 WAPE"/>
    <tableColumn id="17" name="CO2 signed bias"/>
    <tableColumn id="18" name="Mean primary (veh/h)"/>
    <tableColumn id="19" name="Background / stream"/>
    <tableColumn id="20" name="Restriction"/>
    <tableColumn id="21" name="Signal"/>
    <tableColumn id="22" name="Source status"/>
    <tableColumn id="23" name="Native mass error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CRITERIASELECTION7" displayName="CRITERIASELECTION7" ref="A7:I15" headerRowCount="1" totalsRowCount="0" totalsRowShown="0">
  <autoFilter ref="A7:I15"/>
  <tableColumns count="9">
    <tableColumn id="1" name="Criterion"/>
    <tableColumn id="2" name="Role"/>
    <tableColumn id="3" name="Unit / population"/>
    <tableColumn id="4" name="Direction"/>
    <tableColumn id="5" name="Calculation"/>
    <tableColumn id="6" name="Source"/>
    <tableColumn id="7" name="Meaning"/>
    <tableColumn id="8" name="Redundancy / limitation"/>
    <tableColumn id="9" name="Decis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PILOTRESULTS7" displayName="PILOTRESULTS7" ref="A7:H277" headerRowCount="1" totalsRowCount="0" totalsRowShown="0">
  <autoFilter ref="A7:H277"/>
  <tableColumns count="8">
    <tableColumn id="1" name="Context"/>
    <tableColumn id="2" name="Policy"/>
    <tableColumn id="3" name="Seed"/>
    <tableColumn id="4" name="Original mean journey (s)"/>
    <tableColumn id="5" name="Original CO2 (g)"/>
    <tableColumn id="6" name="Split"/>
    <tableColumn id="7" name="Cohort n"/>
    <tableColumn id="8" name="Evidence 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DevelopmentMeans" displayName="DevelopmentMeans" ref="A7:O151" headerRowCount="1" totalsRowCount="0" totalsRowShown="0">
  <tableColumns count="15">
    <tableColumn id="1" name="Lookup key"/>
    <tableColumn id="2" name="Context"/>
    <tableColumn id="3" name="Setting"/>
    <tableColumn id="4" name="Mean journey (s)"/>
    <tableColumn id="5" name="CO2 (g/veh)"/>
    <tableColumn id="6" name="Distance (m)"/>
    <tableColumn id="7" name="P95 journey (s)"/>
    <tableColumn id="8" name="Core portfolio?"/>
    <tableColumn id="9" name="Replications"/>
    <tableColumn id="10" name="BG journey (s)"/>
    <tableColumn id="11" name="BG CO2 (g/veh)"/>
    <tableColumn id="12" name="Network CO2 (g)"/>
    <tableColumn id="13" name="Insertion (s)"/>
    <tableColumn id="14" name="Mean forecast WAPE"/>
    <tableColumn id="15" name="Statu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DATADICTIONARY7" displayName="DATADICTIONARY7" ref="A7:D25" headerRowCount="1" totalsRowCount="0" totalsRowShown="0">
  <autoFilter ref="A7:D25"/>
  <tableColumns count="4">
    <tableColumn id="1" name="Variable / term"/>
    <tableColumn id="2" name="Unit / type"/>
    <tableColumn id="3" name="Definition"/>
    <tableColumn id="4" name="Source / restrictio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SOURCES7" displayName="SOURCES7" ref="A7:I47" headerRowCount="1" totalsRowCount="0" totalsRowShown="0">
  <autoFilter ref="A7:I47"/>
  <tableColumns count="9">
    <tableColumn id="1" name="ID"/>
    <tableColumn id="2" name="Title"/>
    <tableColumn id="3" name="Authors"/>
    <tableColumn id="4" name="Year"/>
    <tableColumn id="5" name="Venue"/>
    <tableColumn id="6" name="DOI"/>
    <tableColumn id="7" name="URL"/>
    <tableColumn id="8" name="Role"/>
    <tableColumn id="9" name="Access / verifi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showGridLines="0" workbookViewId="0">
      <pane xSplit="1" ySplit="7" topLeftCell="B8" activePane="bottomRight" state="frozen"/>
      <selection activeCell="A1" sqref="A1"/>
    </sheetView>
  </sheetViews>
  <sheetFormatPr baseColWidth="8" defaultRowHeight="15"/>
  <cols>
    <col width="38" customWidth="1" min="1" max="1"/>
    <col width="120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 ht="24" customHeight="1">
      <c r="A1" s="31" t="n"/>
      <c r="B1" s="31" t="n"/>
      <c r="C1" s="31" t="n"/>
      <c r="D1" s="31" t="n"/>
      <c r="E1" s="31" t="n"/>
      <c r="F1" s="31" t="n"/>
    </row>
    <row r="2" ht="24" customHeight="1">
      <c r="A2" s="3" t="inlineStr">
        <is>
          <t>Routing policy selection — corrected research evidence</t>
        </is>
      </c>
      <c r="B2" s="31" t="n"/>
      <c r="C2" s="31" t="n"/>
      <c r="D2" s="31" t="n"/>
      <c r="E2" s="31" t="n"/>
      <c r="F2" s="31" t="n"/>
    </row>
    <row r="3" ht="24" customHeight="1">
      <c r="A3" s="31" t="n"/>
      <c r="B3" s="31" t="n"/>
      <c r="C3" s="31" t="n"/>
      <c r="D3" s="31" t="n"/>
      <c r="E3" s="31" t="n"/>
      <c r="F3" s="31" t="n"/>
    </row>
    <row r="4" ht="24" customHeight="1">
      <c r="A4" s="4" t="inlineStr">
        <is>
          <t>20 September 2026 | Supervisor workbook | Scientific checkpoint: MODIFY OBSERVER</t>
        </is>
      </c>
      <c r="B4" s="31" t="n"/>
      <c r="C4" s="31" t="n"/>
      <c r="D4" s="31" t="n"/>
      <c r="E4" s="31" t="n"/>
      <c r="F4" s="31" t="n"/>
    </row>
    <row r="5" ht="24" customHeight="1">
      <c r="A5" s="31" t="n"/>
      <c r="B5" s="31" t="n"/>
      <c r="C5" s="31" t="n"/>
      <c r="D5" s="31" t="n"/>
      <c r="E5" s="31" t="n"/>
      <c r="F5" s="31" t="n"/>
    </row>
    <row r="6" ht="24" customHeight="1">
      <c r="A6" s="31" t="n"/>
      <c r="B6" s="31" t="n"/>
      <c r="C6" s="31" t="n"/>
      <c r="D6" s="31" t="n"/>
      <c r="E6" s="31" t="n"/>
      <c r="F6" s="31" t="n"/>
    </row>
    <row r="7" ht="38" customHeight="1">
      <c r="A7" s="7" t="inlineStr">
        <is>
          <t>Question / point</t>
        </is>
      </c>
      <c r="B7" s="7" t="inlineStr">
        <is>
          <t>Explanation</t>
        </is>
      </c>
      <c r="C7" s="31" t="n"/>
      <c r="D7" s="31" t="n"/>
      <c r="E7" s="31" t="n"/>
      <c r="F7" s="31" t="n"/>
    </row>
    <row r="8" ht="48" customHeight="1">
      <c r="A8" s="31" t="inlineStr">
        <is>
          <t>Research question</t>
        </is>
      </c>
      <c r="B8" s="8" t="inlineStr">
        <is>
          <t>When does adapting an established routing policy improve observed decision quality over a fixed policy?</t>
        </is>
      </c>
      <c r="C8" s="31" t="n"/>
      <c r="D8" s="31" t="n"/>
      <c r="E8" s="31" t="n"/>
      <c r="F8" s="31" t="n"/>
    </row>
    <row r="9" ht="48" customHeight="1">
      <c r="A9" s="31" t="inlineStr">
        <is>
          <t>Current decision</t>
        </is>
      </c>
      <c r="B9" s="32" t="inlineStr">
        <is>
          <t>Hold the main experiment and ML. The route-order forecast screen failed despite acceptable selected-path average prediction error.</t>
        </is>
      </c>
      <c r="C9" s="31" t="n"/>
      <c r="D9" s="31" t="n"/>
      <c r="E9" s="31" t="n"/>
      <c r="F9" s="31" t="n"/>
    </row>
    <row r="10" ht="48" customHeight="1">
      <c r="A10" s="31" t="inlineStr">
        <is>
          <t>Completed original pilot</t>
        </is>
      </c>
      <c r="B10" s="8" t="inlineStr">
        <is>
          <t>270 runs, 30 contexts, 3 policies. DTT dominates original time/CO2 context means. Preserved separately.</t>
        </is>
      </c>
      <c r="C10" s="31" t="n"/>
      <c r="D10" s="31" t="n"/>
      <c r="E10" s="31" t="n"/>
      <c r="F10" s="31" t="n"/>
    </row>
    <row r="11" ht="48" customHeight="1">
      <c r="A11" s="31" t="inlineStr">
        <is>
          <t>New completed evidence</t>
        </is>
      </c>
      <c r="B11" s="8" t="inlineStr">
        <is>
          <t>432 development runs and 232 marginal route-probe runs. These are engineering/development evidence, not a final test set.</t>
        </is>
      </c>
      <c r="C11" s="31" t="n"/>
      <c r="D11" s="31" t="n"/>
      <c r="E11" s="31" t="n"/>
      <c r="F11" s="31" t="n"/>
    </row>
    <row r="12" ht="48" customHeight="1">
      <c r="A12" s="31" t="inlineStr">
        <is>
          <t>Start here</t>
        </is>
      </c>
      <c r="B12" s="8" t="inlineStr">
        <is>
          <t>Open WEIGHTS; choose an amber context/profile; follow DECISION_MATRIX -&gt; NORMALIZATION -&gt; MCDM_CALCULATION.</t>
        </is>
      </c>
      <c r="C12" s="31" t="n"/>
      <c r="D12" s="31" t="n"/>
      <c r="E12" s="31" t="n"/>
      <c r="F12" s="31" t="n"/>
    </row>
    <row r="13" ht="48" customHeight="1">
      <c r="A13" s="31" t="inlineStr">
        <is>
          <t>Primary MCDM</t>
        </is>
      </c>
      <c r="B13" s="8" t="inlineStr">
        <is>
          <t>Fixed-reference additive cost, time + CO2; declared analytical preference profiles. VIKOR is one sensitivity only.</t>
        </is>
      </c>
      <c r="C13" s="31" t="n"/>
      <c r="D13" s="31" t="n"/>
      <c r="E13" s="31" t="n"/>
      <c r="F13" s="31" t="n"/>
    </row>
    <row r="14" ht="48" customHeight="1">
      <c r="A14" s="31" t="inlineStr">
        <is>
          <t>Key forecast finding</t>
        </is>
      </c>
      <c r="B14" s="8" t="inlineStr">
        <is>
          <t>Selected-path CO2 WAPE 14.71%; route-probe choice loss 21.62% against best observed route in fixed-replay panels.</t>
        </is>
      </c>
      <c r="C14" s="31" t="n"/>
      <c r="D14" s="31" t="n"/>
      <c r="E14" s="31" t="n"/>
      <c r="F14" s="31" t="n"/>
    </row>
    <row r="15" ht="48" customHeight="1">
      <c r="A15" s="31" t="inlineStr">
        <is>
          <t>Headroom finding</t>
        </is>
      </c>
      <c r="B15" s="8" t="inlineStr">
        <is>
          <t>Four policy settings win development contexts; best fixed DTT has mean balanced headroom 0.02980 cost units. This is not an ML gain.</t>
        </is>
      </c>
      <c r="C15" s="31" t="n"/>
      <c r="D15" s="31" t="n"/>
      <c r="E15" s="31" t="n"/>
      <c r="F15" s="31" t="n"/>
    </row>
    <row r="16" ht="48" customHeight="1">
      <c r="A16" s="31" t="inlineStr">
        <is>
          <t>Preference finding</t>
        </is>
      </c>
      <c r="B16" s="8" t="inlineStr">
        <is>
          <t>Three two-criterion profiles produce identical winners in all 24 contexts; do not exaggerate the MCDM contribution.</t>
        </is>
      </c>
      <c r="C16" s="31" t="n"/>
      <c r="D16" s="31" t="n"/>
      <c r="E16" s="31" t="n"/>
      <c r="F16" s="31" t="n"/>
    </row>
    <row r="17" ht="48" customHeight="1">
      <c r="A17" s="31" t="inlineStr">
        <is>
          <t>Color / status key</t>
        </is>
      </c>
      <c r="B17" s="8" t="inlineStr">
        <is>
          <t>Green: completed observations; blue: formulas; amber: editable assumptions; gray: ungenerated; purple: hypothetical. Text labels also state status.</t>
        </is>
      </c>
      <c r="C17" s="31" t="n"/>
      <c r="D17" s="31" t="n"/>
      <c r="E17" s="31" t="n"/>
      <c r="F17" s="31" t="n"/>
    </row>
    <row r="18" ht="48" customHeight="1">
      <c r="A18" s="31" t="inlineStr">
        <is>
          <t>Mathematical traceability</t>
        </is>
      </c>
      <c r="B18" s="8" t="inlineStr">
        <is>
          <t>EQUATIONS_TRACEABILITY gives sources and adaptations; SOURCES states access limits. No invisible invented formula.</t>
        </is>
      </c>
      <c r="C18" s="31" t="n"/>
      <c r="D18" s="31" t="n"/>
      <c r="E18" s="31" t="n"/>
      <c r="F18" s="31" t="n"/>
    </row>
    <row r="19" ht="48" customHeight="1">
      <c r="A19" s="31" t="inlineStr">
        <is>
          <t>Main-study status</t>
        </is>
      </c>
      <c r="B19" s="8" t="inlineStr">
        <is>
          <t>140 proposed contexts / 2,800 candidate runs are unreleased. No new main outcome, trained model or test gain is claimed.</t>
        </is>
      </c>
      <c r="C19" s="31" t="n"/>
      <c r="D19" s="31" t="n"/>
      <c r="E19" s="31" t="n"/>
      <c r="F19" s="31" t="n"/>
    </row>
    <row r="20" ht="48" customHeight="1">
      <c r="A20" s="31" t="inlineStr">
        <is>
          <t>Source access limit</t>
        </is>
      </c>
      <c r="B20" s="8" t="inlineStr">
        <is>
          <t>Huang and Kosijer full texts inspected. Full Boriboonsomsin 2012 and Zeng 2016/2017 papers were not available among recovered attachments; equations remain unverified.</t>
        </is>
      </c>
      <c r="C20" s="31" t="n"/>
      <c r="D20" s="31" t="n"/>
      <c r="E20" s="31" t="n"/>
      <c r="F20" s="31" t="n"/>
    </row>
    <row r="21" ht="48" customHeight="1">
      <c r="A21" s="31" t="inlineStr">
        <is>
          <t>Cohort boundary</t>
        </is>
      </c>
      <c r="B21" s="8" t="inlineStr">
        <is>
          <t>Primary OD drives decisions; background and network totals are externality diagnostics. Insertion waiting has no simulated tailpipe emissions.</t>
        </is>
      </c>
      <c r="C21" s="31" t="n"/>
      <c r="D21" s="31" t="n"/>
      <c r="E21" s="31" t="n"/>
      <c r="F21" s="31" t="n"/>
    </row>
    <row r="22" ht="48" customHeight="1">
      <c r="A22" s="31" t="inlineStr">
        <is>
          <t>Reproducibility</t>
        </is>
      </c>
      <c r="B22" s="8" t="inlineStr">
        <is>
          <t>Companion package contains raw outputs, source code, manifests, corrected calculations and original evidence hashes.</t>
        </is>
      </c>
      <c r="C22" s="31" t="n"/>
      <c r="D22" s="31" t="n"/>
      <c r="E22" s="31" t="n"/>
      <c r="F22" s="31" t="n"/>
    </row>
    <row r="23" ht="48" customHeight="1">
      <c r="A23" s="31" t="inlineStr">
        <is>
          <t>Scientific novelty</t>
        </is>
      </c>
      <c r="B23" s="8" t="inlineStr">
        <is>
          <t>No new routing, MCDM or ML algorithm. Current evidence concerns validation failure and conditional selection opportunity.</t>
        </is>
      </c>
      <c r="C23" s="31" t="n"/>
      <c r="D23" s="31" t="n"/>
      <c r="E23" s="31" t="n"/>
      <c r="F23" s="31" t="n"/>
    </row>
    <row r="24" ht="24" customHeight="1">
      <c r="A24" s="31" t="n"/>
      <c r="B24" s="31" t="n"/>
      <c r="C24" s="31" t="n"/>
      <c r="D24" s="31" t="n"/>
      <c r="E24" s="31" t="n"/>
      <c r="F24" s="31" t="n"/>
    </row>
    <row r="25" ht="24" customHeight="1">
      <c r="A25" s="31" t="n"/>
      <c r="B25" s="31" t="n"/>
      <c r="C25" s="31" t="n"/>
      <c r="D25" s="31" t="n"/>
      <c r="E25" s="31" t="n"/>
      <c r="F25" s="31" t="n"/>
    </row>
    <row r="26" ht="24" customHeight="1">
      <c r="A26" s="31" t="n"/>
      <c r="B26" s="31" t="n"/>
      <c r="C26" s="31" t="n"/>
      <c r="D26" s="31" t="n"/>
      <c r="E26" s="31" t="n"/>
      <c r="F26" s="31" t="n"/>
    </row>
    <row r="27" ht="38" customHeight="1">
      <c r="A27" s="7" t="inlineStr">
        <is>
          <t>Sheet / group</t>
        </is>
      </c>
      <c r="B27" s="7" t="inlineStr">
        <is>
          <t>Purpose</t>
        </is>
      </c>
      <c r="C27" s="31" t="n"/>
      <c r="D27" s="31" t="n"/>
      <c r="E27" s="31" t="n"/>
      <c r="F27" s="31" t="n"/>
    </row>
    <row r="28" ht="27" customHeight="1">
      <c r="A28" s="31" t="inlineStr">
        <is>
          <t>LITERATURE_METHODS</t>
        </is>
      </c>
      <c r="B28" s="31" t="inlineStr">
        <is>
          <t>Compare primary and alternative decision methods</t>
        </is>
      </c>
      <c r="C28" s="31" t="n"/>
      <c r="D28" s="31" t="n"/>
      <c r="E28" s="31" t="n"/>
      <c r="F28" s="31" t="n"/>
    </row>
    <row r="29" ht="27" customHeight="1">
      <c r="A29" s="31" t="inlineStr">
        <is>
          <t>ROUTING_STRATEGIES</t>
        </is>
      </c>
      <c r="B29" s="31" t="inlineStr">
        <is>
          <t>Established objective versus implementation adaptation</t>
        </is>
      </c>
      <c r="C29" s="31" t="n"/>
      <c r="D29" s="31" t="n"/>
      <c r="E29" s="31" t="n"/>
      <c r="F29" s="31" t="n"/>
    </row>
    <row r="30" ht="27" customHeight="1">
      <c r="A30" s="31" t="inlineStr">
        <is>
          <t>EQUATIONS_TRACEABILITY</t>
        </is>
      </c>
      <c r="B30" s="31" t="inlineStr">
        <is>
          <t>Sources and equations, including limitations</t>
        </is>
      </c>
      <c r="C30" s="31" t="n"/>
      <c r="D30" s="31" t="n"/>
      <c r="E30" s="31" t="n"/>
      <c r="F30" s="31" t="n"/>
    </row>
    <row r="31" ht="27" customHeight="1">
      <c r="A31" s="31" t="inlineStr">
        <is>
          <t>NETWORK</t>
        </is>
      </c>
      <c r="B31" s="31" t="inlineStr">
        <is>
          <t>Candidate topology and actual links/routes</t>
        </is>
      </c>
      <c r="C31" s="31" t="n"/>
      <c r="D31" s="31" t="n"/>
      <c r="E31" s="31" t="n"/>
      <c r="F31" s="31" t="n"/>
    </row>
    <row r="32" ht="27" customHeight="1">
      <c r="A32" s="31" t="inlineStr">
        <is>
          <t>SCENARIO_DESIGN</t>
        </is>
      </c>
      <c r="B32" s="31" t="inlineStr">
        <is>
          <t>Completed development versus unreleased main design</t>
        </is>
      </c>
      <c r="C32" s="31" t="n"/>
      <c r="D32" s="31" t="n"/>
      <c r="E32" s="31" t="n"/>
      <c r="F32" s="31" t="n"/>
    </row>
    <row r="33" ht="27" customHeight="1">
      <c r="A33" s="31" t="inlineStr">
        <is>
          <t>RAW_PERFORMANCE</t>
        </is>
      </c>
      <c r="B33" s="31" t="inlineStr">
        <is>
          <t>One row per actual development run</t>
        </is>
      </c>
      <c r="C33" s="31" t="n"/>
      <c r="D33" s="31" t="n"/>
      <c r="E33" s="31" t="n"/>
      <c r="F33" s="31" t="n"/>
    </row>
    <row r="34" ht="27" customHeight="1">
      <c r="A34" s="31" t="inlineStr">
        <is>
          <t>CRITERIA_SELECTION</t>
        </is>
      </c>
      <c r="B34" s="31" t="inlineStr">
        <is>
          <t>Justification and redundancy review</t>
        </is>
      </c>
      <c r="C34" s="31" t="n"/>
      <c r="D34" s="31" t="n"/>
      <c r="E34" s="31" t="n"/>
      <c r="F34" s="31" t="n"/>
    </row>
    <row r="35" ht="27" customHeight="1">
      <c r="A35" s="31" t="inlineStr">
        <is>
          <t>DECISION_MATRIX</t>
        </is>
      </c>
      <c r="B35" s="31" t="inlineStr">
        <is>
          <t>Select the observed policy matrix</t>
        </is>
      </c>
      <c r="C35" s="31" t="n"/>
      <c r="D35" s="31" t="n"/>
      <c r="E35" s="31" t="n"/>
      <c r="F35" s="31" t="n"/>
    </row>
    <row r="36" ht="27" customHeight="1">
      <c r="A36" s="31" t="inlineStr">
        <is>
          <t>NORMALIZATION</t>
        </is>
      </c>
      <c r="B36" s="31" t="inlineStr">
        <is>
          <t>Every scaling division</t>
        </is>
      </c>
      <c r="C36" s="31" t="n"/>
      <c r="D36" s="31" t="n"/>
      <c r="E36" s="31" t="n"/>
      <c r="F36" s="31" t="n"/>
    </row>
    <row r="37" ht="27" customHeight="1">
      <c r="A37" s="31" t="inlineStr">
        <is>
          <t>WEIGHTS</t>
        </is>
      </c>
      <c r="B37" s="31" t="inlineStr">
        <is>
          <t>One authoritative context/profile control</t>
        </is>
      </c>
      <c r="C37" s="31" t="n"/>
      <c r="D37" s="31" t="n"/>
      <c r="E37" s="31" t="n"/>
      <c r="F37" s="31" t="n"/>
    </row>
    <row r="38" ht="27" customHeight="1">
      <c r="A38" s="31" t="inlineStr">
        <is>
          <t>MCDM_CALCULATION</t>
        </is>
      </c>
      <c r="B38" s="31" t="inlineStr">
        <is>
          <t>Weighted scores, ranking, selected policy, regret</t>
        </is>
      </c>
      <c r="C38" s="31" t="n"/>
      <c r="D38" s="31" t="n"/>
      <c r="E38" s="31" t="n"/>
      <c r="F38" s="31" t="n"/>
    </row>
    <row r="39" ht="27" customHeight="1">
      <c r="A39" s="31" t="inlineStr">
        <is>
          <t>MCDM_METHOD_COMPARISON</t>
        </is>
      </c>
      <c r="B39" s="31" t="inlineStr">
        <is>
          <t>Kosijer VIKOR with acceptance tests</t>
        </is>
      </c>
      <c r="C39" s="31" t="n"/>
      <c r="D39" s="31" t="n"/>
      <c r="E39" s="31" t="n"/>
      <c r="F39" s="31" t="n"/>
    </row>
    <row r="40" ht="27" customHeight="1">
      <c r="A40" s="31" t="inlineStr">
        <is>
          <t>SENSITIVITY</t>
        </is>
      </c>
      <c r="B40" s="31" t="inlineStr">
        <is>
          <t>Weight sweep and TECO sensitivity</t>
        </is>
      </c>
      <c r="C40" s="31" t="n"/>
      <c r="D40" s="31" t="n"/>
      <c r="E40" s="31" t="n"/>
      <c r="F40" s="31" t="n"/>
    </row>
    <row r="41" ht="27" customHeight="1">
      <c r="A41" s="31" t="inlineStr">
        <is>
          <t>ML_SELECTION</t>
        </is>
      </c>
      <c r="B41" s="31" t="inlineStr">
        <is>
          <t>Honest model status and future protocol</t>
        </is>
      </c>
      <c r="C41" s="31" t="n"/>
      <c r="D41" s="31" t="n"/>
      <c r="E41" s="31" t="n"/>
      <c r="F41" s="31" t="n"/>
    </row>
    <row r="42" ht="27" customHeight="1">
      <c r="A42" s="31" t="inlineStr">
        <is>
          <t>ROBUSTNESS</t>
        </is>
      </c>
      <c r="B42" s="31" t="inlineStr">
        <is>
          <t>Development headroom and fixed benchmarks</t>
        </is>
      </c>
      <c r="C42" s="31" t="n"/>
      <c r="D42" s="31" t="n"/>
      <c r="E42" s="31" t="n"/>
      <c r="F42" s="31" t="n"/>
    </row>
    <row r="43" ht="27" customHeight="1">
      <c r="A43" s="31" t="inlineStr">
        <is>
          <t>WORKED_EXAMPLE</t>
        </is>
      </c>
      <c r="B43" s="31" t="inlineStr">
        <is>
          <t>Isolated hypothetical arithmetic</t>
        </is>
      </c>
      <c r="C43" s="31" t="n"/>
      <c r="D43" s="31" t="n"/>
      <c r="E43" s="31" t="n"/>
      <c r="F43" s="31" t="n"/>
    </row>
    <row r="44" ht="27" customHeight="1">
      <c r="A44" s="31" t="inlineStr">
        <is>
          <t>PILOT_RESULTS</t>
        </is>
      </c>
      <c r="B44" s="31" t="inlineStr">
        <is>
          <t>Original270 run values with original additive model</t>
        </is>
      </c>
      <c r="C44" s="31" t="n"/>
      <c r="D44" s="31" t="n"/>
      <c r="E44" s="31" t="n"/>
      <c r="F44" s="31" t="n"/>
    </row>
    <row r="45" ht="27" customHeight="1">
      <c r="A45" s="31" t="inlineStr">
        <is>
          <t>REDESIGN_RESULTS</t>
        </is>
      </c>
      <c r="B45" s="31" t="inlineStr">
        <is>
          <t>Formula-based development means</t>
        </is>
      </c>
      <c r="C45" s="31" t="n"/>
      <c r="D45" s="31" t="n"/>
      <c r="E45" s="31" t="n"/>
      <c r="F45" s="31" t="n"/>
    </row>
    <row r="46" ht="27" customHeight="1">
      <c r="A46" s="31" t="inlineStr">
        <is>
          <t>VALIDATION</t>
        </is>
      </c>
      <c r="B46" s="31" t="inlineStr">
        <is>
          <t>Passed and failed engineering/scientific gates</t>
        </is>
      </c>
      <c r="C46" s="31" t="n"/>
      <c r="D46" s="31" t="n"/>
      <c r="E46" s="31" t="n"/>
      <c r="F46" s="31" t="n"/>
    </row>
    <row r="47" ht="27" customHeight="1">
      <c r="A47" s="31" t="inlineStr">
        <is>
          <t>DATA_DICTIONARY</t>
        </is>
      </c>
      <c r="B47" s="31" t="inlineStr">
        <is>
          <t>Units, populations and evidence categories</t>
        </is>
      </c>
      <c r="C47" s="31" t="n"/>
      <c r="D47" s="31" t="n"/>
      <c r="E47" s="31" t="n"/>
      <c r="F47" s="31" t="n"/>
    </row>
    <row r="48" ht="27" customHeight="1">
      <c r="A48" s="31" t="inlineStr">
        <is>
          <t>SOURCES</t>
        </is>
      </c>
      <c r="B48" s="31" t="inlineStr">
        <is>
          <t>Verified bibliography and access status</t>
        </is>
      </c>
      <c r="C48" s="31" t="n"/>
      <c r="D48" s="31" t="n"/>
      <c r="E48" s="31" t="n"/>
      <c r="F48" s="31" t="n"/>
    </row>
    <row r="49" ht="24" customHeight="1">
      <c r="A49" s="31" t="n"/>
      <c r="B49" s="31" t="n"/>
      <c r="C49" s="31" t="n"/>
      <c r="D49" s="31" t="n"/>
      <c r="E49" s="31" t="n"/>
      <c r="F49" s="31" t="n"/>
    </row>
    <row r="50" ht="24" customHeight="1">
      <c r="A50" s="31" t="n"/>
      <c r="B50" s="31" t="n"/>
      <c r="C50" s="31" t="n"/>
      <c r="D50" s="31" t="n"/>
      <c r="E50" s="31" t="n"/>
      <c r="F50" s="31" t="n"/>
    </row>
    <row r="51" ht="24" customHeight="1">
      <c r="A51" s="31" t="n"/>
      <c r="B51" s="31" t="n"/>
      <c r="C51" s="31" t="n"/>
      <c r="D51" s="31" t="n"/>
      <c r="E51" s="31" t="n"/>
      <c r="F51" s="31" t="n"/>
    </row>
    <row r="52" ht="24" customHeight="1">
      <c r="A52" s="31" t="n"/>
      <c r="B52" s="31" t="n"/>
      <c r="C52" s="31" t="n"/>
      <c r="D52" s="31" t="n"/>
      <c r="E52" s="31" t="n"/>
      <c r="F52" s="31" t="n"/>
    </row>
    <row r="53" ht="24" customHeight="1">
      <c r="A53" s="31" t="n"/>
      <c r="B53" s="31" t="n"/>
      <c r="C53" s="31" t="n"/>
      <c r="D53" s="31" t="n"/>
      <c r="E53" s="31" t="n"/>
      <c r="F53" s="31" t="n"/>
    </row>
    <row r="54" ht="24" customHeight="1">
      <c r="A54" s="31" t="n"/>
      <c r="B54" s="31" t="n"/>
      <c r="C54" s="31" t="n"/>
      <c r="D54" s="31" t="n"/>
      <c r="E54" s="31" t="n"/>
      <c r="F54" s="31" t="n"/>
    </row>
    <row r="55" ht="24" customHeight="1">
      <c r="A55" s="31" t="n"/>
      <c r="B55" s="31" t="n"/>
      <c r="C55" s="31" t="n"/>
      <c r="D55" s="31" t="n"/>
      <c r="E55" s="31" t="n"/>
      <c r="F55" s="31" t="n"/>
    </row>
    <row r="56" ht="24" customHeight="1">
      <c r="A56" s="31" t="n"/>
      <c r="B56" s="31" t="n"/>
      <c r="C56" s="31" t="n"/>
      <c r="D56" s="31" t="n"/>
      <c r="E56" s="31" t="n"/>
      <c r="F56" s="31" t="n"/>
    </row>
    <row r="57" ht="24" customHeight="1">
      <c r="A57" s="31" t="n"/>
      <c r="B57" s="31" t="n"/>
      <c r="C57" s="31" t="n"/>
      <c r="D57" s="31" t="n"/>
      <c r="E57" s="31" t="n"/>
      <c r="F57" s="31" t="n"/>
    </row>
    <row r="58" ht="24" customHeight="1">
      <c r="A58" s="31" t="n"/>
      <c r="B58" s="31" t="n"/>
      <c r="C58" s="31" t="n"/>
      <c r="D58" s="31" t="n"/>
      <c r="E58" s="31" t="n"/>
      <c r="F58" s="31" t="n"/>
    </row>
    <row r="59" ht="24" customHeight="1">
      <c r="A59" s="31" t="n"/>
      <c r="B59" s="31" t="n"/>
      <c r="C59" s="31" t="n"/>
      <c r="D59" s="31" t="n"/>
      <c r="E59" s="31" t="n"/>
      <c r="F59" s="31" t="n"/>
    </row>
    <row r="60" ht="24" customHeight="1">
      <c r="A60" s="31" t="n"/>
      <c r="B60" s="31" t="n"/>
      <c r="C60" s="31" t="n"/>
      <c r="D60" s="31" t="n"/>
      <c r="E60" s="31" t="n"/>
      <c r="F60" s="31" t="n"/>
    </row>
    <row r="61" ht="24" customHeight="1">
      <c r="A61" s="31" t="n"/>
      <c r="B61" s="31" t="n"/>
      <c r="C61" s="31" t="n"/>
      <c r="D61" s="31" t="n"/>
      <c r="E61" s="31" t="n"/>
      <c r="F61" s="31" t="n"/>
    </row>
    <row r="62" ht="24" customHeight="1">
      <c r="A62" s="31" t="n"/>
      <c r="B62" s="31" t="n"/>
      <c r="C62" s="31" t="n"/>
      <c r="D62" s="31" t="n"/>
      <c r="E62" s="31" t="n"/>
      <c r="F62" s="31" t="n"/>
    </row>
    <row r="63" ht="24" customHeight="1">
      <c r="A63" s="31" t="n"/>
      <c r="B63" s="31" t="n"/>
      <c r="C63" s="31" t="n"/>
      <c r="D63" s="31" t="n"/>
      <c r="E63" s="31" t="n"/>
      <c r="F63" s="31" t="n"/>
    </row>
    <row r="64" ht="24" customHeight="1">
      <c r="A64" s="31" t="n"/>
      <c r="B64" s="31" t="n"/>
      <c r="C64" s="31" t="n"/>
      <c r="D64" s="31" t="n"/>
      <c r="E64" s="31" t="n"/>
      <c r="F64" s="31" t="n"/>
    </row>
    <row r="65" ht="24" customHeight="1">
      <c r="A65" s="31" t="n"/>
      <c r="B65" s="31" t="n"/>
      <c r="C65" s="31" t="n"/>
      <c r="D65" s="31" t="n"/>
      <c r="E65" s="31" t="n"/>
      <c r="F65" s="31" t="n"/>
    </row>
    <row r="66" ht="24" customHeight="1">
      <c r="A66" s="31" t="n"/>
      <c r="B66" s="31" t="n"/>
      <c r="C66" s="31" t="n"/>
      <c r="D66" s="31" t="n"/>
      <c r="E66" s="31" t="n"/>
      <c r="F66" s="31" t="n"/>
    </row>
    <row r="67" ht="24" customHeight="1">
      <c r="A67" s="31" t="n"/>
      <c r="B67" s="31" t="n"/>
      <c r="C67" s="31" t="n"/>
      <c r="D67" s="31" t="n"/>
      <c r="E67" s="31" t="n"/>
      <c r="F67" s="31" t="n"/>
    </row>
    <row r="68" ht="24" customHeight="1">
      <c r="A68" s="31" t="n"/>
      <c r="B68" s="31" t="n"/>
      <c r="C68" s="31" t="n"/>
      <c r="D68" s="31" t="n"/>
      <c r="E68" s="31" t="n"/>
      <c r="F68" s="31" t="n"/>
    </row>
    <row r="69" ht="24" customHeight="1">
      <c r="A69" s="31" t="n"/>
      <c r="B69" s="31" t="n"/>
      <c r="C69" s="31" t="n"/>
      <c r="D69" s="31" t="n"/>
      <c r="E69" s="31" t="n"/>
      <c r="F69" s="3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xSplit="1" ySplit="7" topLeftCell="B8" activePane="bottomRight" state="frozen"/>
      <selection activeCell="A1" sqref="A1"/>
    </sheetView>
  </sheetViews>
  <sheetFormatPr baseColWidth="8" defaultRowHeight="15"/>
  <cols>
    <col width="28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</cols>
  <sheetData>
    <row r="1" ht="24" customHeight="1">
      <c r="A1" s="31" t="n"/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</row>
    <row r="2" ht="24" customHeight="1">
      <c r="A2" s="3" t="inlineStr">
        <is>
          <t>Method choice follows the decision problem</t>
        </is>
      </c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</row>
    <row r="3" ht="24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 ht="24" customHeight="1">
      <c r="A4" s="4" t="inlineStr">
        <is>
          <t>ONE primary method; ONE VIKOR sensitivity. No fictitious TOPSIS/PROMETHEE results.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24" customHeight="1">
      <c r="A5" s="31" t="n"/>
      <c r="B5" s="31" t="n"/>
      <c r="C5" s="31" t="n"/>
      <c r="D5" s="31" t="n"/>
      <c r="E5" s="31" t="n"/>
      <c r="F5" s="31" t="n"/>
      <c r="G5" s="31" t="n"/>
      <c r="H5" s="31" t="n"/>
      <c r="I5" s="31" t="n"/>
      <c r="J5" s="31" t="n"/>
      <c r="K5" s="31" t="n"/>
    </row>
    <row r="6" ht="24" customHeight="1">
      <c r="A6" s="31" t="n"/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</row>
    <row r="7" ht="38" customHeight="1">
      <c r="A7" s="7" t="inlineStr">
        <is>
          <t>Method</t>
        </is>
      </c>
      <c r="B7" s="7" t="inlineStr">
        <is>
          <t>Primary source</t>
        </is>
      </c>
      <c r="C7" s="7" t="inlineStr">
        <is>
          <t>Normalization</t>
        </is>
      </c>
      <c r="D7" s="7" t="inlineStr">
        <is>
          <t>Weights</t>
        </is>
      </c>
      <c r="E7" s="7" t="inlineStr">
        <is>
          <t>Ranking</t>
        </is>
      </c>
      <c r="F7" s="7" t="inlineStr">
        <is>
          <t>Assumptions</t>
        </is>
      </c>
      <c r="G7" s="7" t="inlineStr">
        <is>
          <t>Excel difficulty</t>
        </is>
      </c>
      <c r="H7" s="7" t="inlineStr">
        <is>
          <t>Role</t>
        </is>
      </c>
      <c r="I7" s="7" t="inlineStr">
        <is>
          <t>Why / value</t>
        </is>
      </c>
      <c r="J7" s="7" t="inlineStr">
        <is>
          <t>Limitation</t>
        </is>
      </c>
      <c r="K7" s="7" t="inlineStr">
        <is>
          <t>Transportation connection</t>
        </is>
      </c>
    </row>
    <row r="8" ht="88" customHeight="1">
      <c r="A8" s="8" t="inlineStr">
        <is>
          <t>Additive value / SAW</t>
        </is>
      </c>
      <c r="B8" s="8" t="inlineStr">
        <is>
          <t>R12,R15,R16</t>
        </is>
      </c>
      <c r="C8" s="8" t="inlineStr">
        <is>
          <t>Value functions; here x / fixed positive reference</t>
        </is>
      </c>
      <c r="D8" s="8" t="inlineStr">
        <is>
          <t>Multiply criterion values by nonnegative weights summing to 1</t>
        </is>
      </c>
      <c r="E8" s="8" t="inlineStr">
        <is>
          <t>Minimize weighted sum of costs</t>
        </is>
      </c>
      <c r="F8" s="8" t="inlineStr">
        <is>
          <t>Preferential separability; linear compensation over chosen range</t>
        </is>
      </c>
      <c r="G8" s="8" t="inlineStr">
        <is>
          <t>Very easy</t>
        </is>
      </c>
      <c r="H8" s="8" t="inlineStr">
        <is>
          <t>PRIMARY</t>
        </is>
      </c>
      <c r="I8" s="8" t="inlineStr">
        <is>
          <t>Fixed references make cross-context regret interpretable</t>
        </is>
      </c>
      <c r="J8" s="8" t="inlineStr">
        <is>
          <t>Changing scale changes trade-off; no elicited stakeholder utility</t>
        </is>
      </c>
      <c r="K8" s="8" t="inlineStr">
        <is>
          <t>Transportation appraisal; weighted eco objectives are related, not identical</t>
        </is>
      </c>
    </row>
    <row r="9" ht="88" customHeight="1">
      <c r="A9" s="8" t="inlineStr">
        <is>
          <t>TOPSIS</t>
        </is>
      </c>
      <c r="B9" s="8" t="inlineStr">
        <is>
          <t>R12,R13</t>
        </is>
      </c>
      <c r="C9" s="8" t="inlineStr">
        <is>
          <t>Standard vector normalization within alternative matrix</t>
        </is>
      </c>
      <c r="D9" s="8" t="inlineStr">
        <is>
          <t>Weights scale normalized coordinates</t>
        </is>
      </c>
      <c r="E9" s="8" t="inlineStr">
        <is>
          <t>Maximize distance from worst / (distance to best + distance to worst)</t>
        </is>
      </c>
      <c r="F9" s="8" t="inlineStr">
        <is>
          <t>Euclidean geometry; ideal and worst depend on available alternatives</t>
        </is>
      </c>
      <c r="G9" s="8" t="inlineStr">
        <is>
          <t>Easy/moderate</t>
        </is>
      </c>
      <c r="H9" s="8" t="inlineStr">
        <is>
          <t>NOT NUMERICALLY ADDED</t>
        </is>
      </c>
      <c r="I9" s="8" t="inlineStr">
        <is>
          <t>Useful ideal-solution ranking, but adds little here</t>
        </is>
      </c>
      <c r="J9" s="8" t="inlineStr">
        <is>
          <t>Closeness differences across scenarios are not common monetary/value losses</t>
        </is>
      </c>
      <c r="K9" s="8" t="inlineStr">
        <is>
          <t>Crisp foundation; R29 transportation uses a fuzzy adaptation</t>
        </is>
      </c>
    </row>
    <row r="10" ht="88" customHeight="1">
      <c r="A10" s="8" t="inlineStr">
        <is>
          <t>VIKOR</t>
        </is>
      </c>
      <c r="B10" s="8" t="inlineStr">
        <is>
          <t>R13; R30 section3.3 eqs7-11</t>
        </is>
      </c>
      <c r="C10" s="8" t="inlineStr">
        <is>
          <t>Best/worst range, direction-aware</t>
        </is>
      </c>
      <c r="D10" s="8" t="inlineStr">
        <is>
          <t>Weighted normalized losses; additional v=.5</t>
        </is>
      </c>
      <c r="E10" s="8" t="inlineStr">
        <is>
          <t>Minimize compromise Q; advantage + stability or compromise set</t>
        </is>
      </c>
      <c r="F10" s="8" t="inlineStr">
        <is>
          <t>Compromise between aggregate S and largest criterion loss R</t>
        </is>
      </c>
      <c r="G10" s="8" t="inlineStr">
        <is>
          <t>Moderate</t>
        </is>
      </c>
      <c r="H10" s="8" t="inlineStr">
        <is>
          <t>ONE SECONDARY METHOD</t>
        </is>
      </c>
      <c r="I10" s="8" t="inlineStr">
        <is>
          <t>Strong inspectable transport application; explains disagreement</t>
        </is>
      </c>
      <c r="J10" s="8" t="inlineStr">
        <is>
          <t>Scenario-dependent range; DQ convention differs between papers; not statistical robustness</t>
        </is>
      </c>
      <c r="K10" s="8" t="inlineStr">
        <is>
          <t>Rail alignment selection R30; planning problem differs from pre-trip policy</t>
        </is>
      </c>
    </row>
    <row r="11" ht="88" customHeight="1">
      <c r="A11" s="8" t="inlineStr">
        <is>
          <t>PROMETHEE II</t>
        </is>
      </c>
      <c r="B11" s="8" t="inlineStr">
        <is>
          <t>R14</t>
        </is>
      </c>
      <c r="C11" s="8" t="inlineStr">
        <is>
          <t>No universal normalization; criterion preference functions on pairwise differences</t>
        </is>
      </c>
      <c r="D11" s="8" t="inlineStr">
        <is>
          <t>Aggregate preference degrees with weights</t>
        </is>
      </c>
      <c r="E11" s="8" t="inlineStr">
        <is>
          <t>Descending positive minus negative preference flow</t>
        </is>
      </c>
      <c r="F11" s="8" t="inlineStr">
        <is>
          <t>Preference functions and often indifference/preference thresholds</t>
        </is>
      </c>
      <c r="G11" s="8" t="inlineStr">
        <is>
          <t>Moderate/many cells</t>
        </is>
      </c>
      <c r="H11" s="8" t="inlineStr">
        <is>
          <t>NOT ADDED</t>
        </is>
      </c>
      <c r="I11" s="8" t="inlineStr">
        <is>
          <t>Threshold-based outranking could matter after elicitation</t>
        </is>
      </c>
      <c r="J11" s="8" t="inlineStr">
        <is>
          <t>No justified thresholds; usual preference discards magnitude</t>
        </is>
      </c>
      <c r="K11" s="8" t="inlineStr">
        <is>
          <t>Walking route application R31</t>
        </is>
      </c>
    </row>
    <row r="12" ht="88" customHeight="1">
      <c r="A12" s="8" t="inlineStr">
        <is>
          <t>AHP for weights</t>
        </is>
      </c>
      <c r="B12" s="8" t="inlineStr">
        <is>
          <t>R28</t>
        </is>
      </c>
      <c r="C12" s="8" t="inlineStr">
        <is>
          <t>Pairwise judgments rather than outcome normalization</t>
        </is>
      </c>
      <c r="D12" s="8" t="inlineStr">
        <is>
          <t>Priority vector from actual pairwise comparisons</t>
        </is>
      </c>
      <c r="E12" s="8" t="inlineStr">
        <is>
          <t>Supplies weights; consistency assesses judgments</t>
        </is>
      </c>
      <c r="F12" s="8" t="inlineStr">
        <is>
          <t>Real judgments required</t>
        </is>
      </c>
      <c r="G12" s="8" t="inlineStr">
        <is>
          <t>Moderate</t>
        </is>
      </c>
      <c r="H12" s="8" t="inlineStr">
        <is>
          <t>DEFER</t>
        </is>
      </c>
      <c r="I12" s="8" t="inlineStr">
        <is>
          <t>Could support future elicitation</t>
        </is>
      </c>
      <c r="J12" s="8" t="inlineStr">
        <is>
          <t>No fabricated judgments; consistency is not empirical correctness</t>
        </is>
      </c>
      <c r="K12" s="8" t="inlineStr">
        <is>
          <t>Established decision support; not a routing algorithm</t>
        </is>
      </c>
    </row>
    <row r="13" ht="88" customHeight="1">
      <c r="A13" s="8" t="inlineStr">
        <is>
          <t>Entropy / dispersion weights</t>
        </is>
      </c>
      <c r="B13" s="8" t="inlineStr">
        <is>
          <t>Not adopted</t>
        </is>
      </c>
      <c r="C13" s="8" t="inlineStr">
        <is>
          <t>Data distribution, often normalized proportions</t>
        </is>
      </c>
      <c r="D13" s="8" t="inlineStr">
        <is>
          <t>Weights follow dispersion</t>
        </is>
      </c>
      <c r="E13" s="8" t="inlineStr">
        <is>
          <t>Not a complete ranking method</t>
        </is>
      </c>
      <c r="F13" s="8" t="inlineStr">
        <is>
          <t>Variation proxies information, not preference</t>
        </is>
      </c>
      <c r="G13" s="8" t="inlineStr">
        <is>
          <t>Easy</t>
        </is>
      </c>
      <c r="H13" s="8" t="inlineStr">
        <is>
          <t>REJECT FOR PREFERENCES</t>
        </is>
      </c>
      <c r="I13" s="8" t="inlineStr">
        <is>
          <t>No need to equate noise/variation with importance</t>
        </is>
      </c>
      <c r="J13" s="8" t="inlineStr">
        <is>
          <t>Test-based weighting would leak outcomes</t>
        </is>
      </c>
      <c r="K13" s="8" t="inlineStr">
        <is>
          <t>No equation implemented; no stakeholder interpretation</t>
        </is>
      </c>
    </row>
    <row r="14" ht="24" customHeight="1">
      <c r="A14" s="31" t="n"/>
      <c r="B14" s="31" t="n"/>
      <c r="C14" s="31" t="n"/>
      <c r="D14" s="31" t="n"/>
      <c r="E14" s="31" t="n"/>
      <c r="F14" s="31" t="n"/>
      <c r="G14" s="31" t="n"/>
      <c r="H14" s="31" t="n"/>
      <c r="I14" s="31" t="n"/>
      <c r="J14" s="31" t="n"/>
      <c r="K14" s="31" t="n"/>
    </row>
    <row r="15" ht="24" customHeight="1">
      <c r="A15" s="31" t="n"/>
      <c r="B15" s="31" t="n"/>
      <c r="C15" s="31" t="n"/>
      <c r="D15" s="31" t="n"/>
      <c r="E15" s="31" t="n"/>
      <c r="F15" s="31" t="n"/>
      <c r="G15" s="31" t="n"/>
      <c r="H15" s="31" t="n"/>
      <c r="I15" s="31" t="n"/>
      <c r="J15" s="31" t="n"/>
      <c r="K15" s="31" t="n"/>
    </row>
    <row r="16" ht="24" customHeight="1">
      <c r="A16" s="31" t="n"/>
      <c r="B16" s="31" t="n"/>
      <c r="C16" s="31" t="n"/>
      <c r="D16" s="31" t="n"/>
      <c r="E16" s="31" t="n"/>
      <c r="F16" s="31" t="n"/>
      <c r="G16" s="31" t="n"/>
      <c r="H16" s="31" t="n"/>
      <c r="I16" s="31" t="n"/>
      <c r="J16" s="31" t="n"/>
      <c r="K16" s="3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xSplit="1" ySplit="7" topLeftCell="B8" activePane="bottomRight" state="frozen"/>
      <selection activeCell="A1" sqref="A1"/>
    </sheetView>
  </sheetViews>
  <sheetFormatPr baseColWidth="8" defaultRowHeight="15"/>
  <cols>
    <col width="28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</cols>
  <sheetData>
    <row r="1" ht="24" customHeight="1">
      <c r="A1" s="31" t="n"/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</row>
    <row r="2" ht="24" customHeight="1">
      <c r="A2" s="3" t="inlineStr">
        <is>
          <t>Four objectives; ECO / TECO release remains blocked</t>
        </is>
      </c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</row>
    <row r="3" ht="24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</row>
    <row r="4" ht="24" customHeight="1">
      <c r="A4" s="4" t="inlineStr">
        <is>
          <t>Development TECO05/10/15 are parameter settings, not three new policy principles.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</row>
    <row r="5" ht="24" customHeight="1">
      <c r="A5" s="31" t="n"/>
      <c r="B5" s="31" t="n"/>
      <c r="C5" s="31" t="n"/>
      <c r="D5" s="31" t="n"/>
      <c r="E5" s="31" t="n"/>
      <c r="F5" s="31" t="n"/>
      <c r="G5" s="31" t="n"/>
      <c r="H5" s="31" t="n"/>
      <c r="I5" s="31" t="n"/>
      <c r="J5" s="31" t="n"/>
      <c r="K5" s="31" t="n"/>
      <c r="L5" s="31" t="n"/>
    </row>
    <row r="6" ht="24" customHeight="1">
      <c r="A6" s="31" t="n"/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</row>
    <row r="7" ht="38" customHeight="1">
      <c r="A7" s="7" t="inlineStr">
        <is>
          <t>Policy</t>
        </is>
      </c>
      <c r="B7" s="7" t="inlineStr">
        <is>
          <t>Source</t>
        </is>
      </c>
      <c r="C7" s="7" t="inlineStr">
        <is>
          <t>Objective</t>
        </is>
      </c>
      <c r="D7" s="7" t="inlineStr">
        <is>
          <t>Inputs</t>
        </is>
      </c>
      <c r="E7" s="7" t="inlineStr">
        <is>
          <t>Selection rule</t>
        </is>
      </c>
      <c r="F7" s="7" t="inlineStr">
        <is>
          <t>Timing</t>
        </is>
      </c>
      <c r="G7" s="7" t="inlineStr">
        <is>
          <t>Traffic information</t>
        </is>
      </c>
      <c r="H7" s="7" t="inlineStr">
        <is>
          <t>Environmental information</t>
        </is>
      </c>
      <c r="I7" s="7" t="inlineStr">
        <is>
          <t>SUMO adaptation</t>
        </is>
      </c>
      <c r="J7" s="7" t="inlineStr">
        <is>
          <t>Expected strength</t>
        </is>
      </c>
      <c r="K7" s="7" t="inlineStr">
        <is>
          <t>Limitation</t>
        </is>
      </c>
      <c r="L7" s="7" t="inlineStr">
        <is>
          <t>Literature versus adaptation</t>
        </is>
      </c>
    </row>
    <row r="8" ht="88" customHeight="1">
      <c r="A8" s="8" t="inlineStr">
        <is>
          <t>SP</t>
        </is>
      </c>
      <c r="B8" s="8" t="inlineStr">
        <is>
          <t>R01; R05 section 2.3</t>
        </is>
      </c>
      <c r="C8" s="8" t="inlineStr">
        <is>
          <t>Minimize route length</t>
        </is>
      </c>
      <c r="D8" s="8" t="inlineStr">
        <is>
          <t>Edge/movement lengths; legal catalogue</t>
        </is>
      </c>
      <c r="E8" s="8" t="inlineStr">
        <is>
          <t>argmin over routes of sum length</t>
        </is>
      </c>
      <c r="F8" s="8" t="inlineStr">
        <is>
          <t>Static pre-trip</t>
        </is>
      </c>
      <c r="G8" s="8" t="inlineStr">
        <is>
          <t>No dynamic data</t>
        </is>
      </c>
      <c r="H8" s="8" t="inlineStr">
        <is>
          <t>No</t>
        </is>
      </c>
      <c r="I8" s="8" t="inlineStr">
        <is>
          <t>Enumerate all 29 simple legal paths; lexicographic tie</t>
        </is>
      </c>
      <c r="J8" s="8" t="inlineStr">
        <is>
          <t>Stable baseline; avoids estimation errors</t>
        </is>
      </c>
      <c r="K8" s="8" t="inlineStr">
        <is>
          <t>Ignores congestion and emissions</t>
        </is>
      </c>
      <c r="L8" s="8" t="inlineStr">
        <is>
          <t>Literature objective; catalogue enumeration is our implementation</t>
        </is>
      </c>
    </row>
    <row r="9" ht="88" customHeight="1">
      <c r="A9" s="8" t="inlineStr">
        <is>
          <t>DTT</t>
        </is>
      </c>
      <c r="B9" s="8" t="inlineStr">
        <is>
          <t>R03; R05 section 2.3 eq22 with time-only cost; R35</t>
        </is>
      </c>
      <c r="C9" s="8" t="inlineStr">
        <is>
          <t>Minimize estimated in-network time</t>
        </is>
      </c>
      <c r="D9" s="8" t="inlineStr">
        <is>
          <t>Last complete 60-s edge/movement snapshot</t>
        </is>
      </c>
      <c r="E9" s="8" t="inlineStr">
        <is>
          <t>argmin sum estimated time</t>
        </is>
      </c>
      <c r="F9" s="8" t="inlineStr">
        <is>
          <t>Dynamic pre-trip</t>
        </is>
      </c>
      <c r="G9" s="8" t="inlineStr">
        <is>
          <t>Same lagged traffic data</t>
        </is>
      </c>
      <c r="H9" s="8" t="inlineStr">
        <is>
          <t>No environmental objective</t>
        </is>
      </c>
      <c r="I9" s="8" t="inlineStr">
        <is>
          <t>Refresh costs every 60 s; assign at request; no en-route changes</t>
        </is>
      </c>
      <c r="J9" s="8" t="inlineStr">
        <is>
          <t>Responds to changing delay</t>
        </is>
      </c>
      <c r="K9" s="8" t="inlineStr">
        <is>
          <t>Lag, synchronized diversions and insertion-time staleness</t>
        </is>
      </c>
      <c r="L9" s="8" t="inlineStr">
        <is>
          <t>Objective established; native snapshot route sum is our adaptation</t>
        </is>
      </c>
    </row>
    <row r="10" ht="88" customHeight="1">
      <c r="A10" s="8" t="inlineStr">
        <is>
          <t>ECO</t>
        </is>
      </c>
      <c r="B10" s="8" t="inlineStr">
        <is>
          <t>R03; R40; R06</t>
        </is>
      </c>
      <c r="C10" s="8" t="inlineStr">
        <is>
          <t>Minimize estimated in-network tailpipe CO2</t>
        </is>
      </c>
      <c r="D10" s="8" t="inlineStr">
        <is>
          <t>Same snapshot per-vehicle edge emission estimates</t>
        </is>
      </c>
      <c r="E10" s="8" t="inlineStr">
        <is>
          <t>argmin sum estimated grams</t>
        </is>
      </c>
      <c r="F10" s="8" t="inlineStr">
        <is>
          <t>Dynamic pre-trip</t>
        </is>
      </c>
      <c r="G10" s="8" t="inlineStr">
        <is>
          <t>Same information coverage</t>
        </is>
      </c>
      <c r="H10" s="8" t="inlineStr">
        <is>
          <t>CO2 estimate</t>
        </is>
      </c>
      <c r="I10" s="8" t="inlineStr">
        <is>
          <t>Native CO2_perVeh / 1000 plus internal movement costs</t>
        </is>
      </c>
      <c r="J10" s="8" t="inlineStr">
        <is>
          <t>Environmental objective independent of distance/time proxy</t>
        </is>
      </c>
      <c r="K10" s="8" t="inlineStr">
        <is>
          <t>Forecast route-order gate failed; not a validated eco-navigation system</t>
        </is>
      </c>
      <c r="L10" s="8" t="inlineStr">
        <is>
          <t>Established objective; NOT reproduction of published GMR/SVM</t>
        </is>
      </c>
    </row>
    <row r="11" ht="88" customHeight="1">
      <c r="A11" s="8" t="inlineStr">
        <is>
          <t>TECO</t>
        </is>
      </c>
      <c r="B11" s="8" t="inlineStr">
        <is>
          <t>R04 objective; R05 section2.3 eq23 time-budget concept</t>
        </is>
      </c>
      <c r="C11" s="8" t="inlineStr">
        <is>
          <t>Minimize estimated CO2 subject to estimated time budget</t>
        </is>
      </c>
      <c r="D11" s="8" t="inlineStr">
        <is>
          <t>ECO and DTT forecasts; allowance alpha</t>
        </is>
      </c>
      <c r="E11" s="8" t="inlineStr">
        <is>
          <t>min Ehat where That &lt;= (1+alpha) min That</t>
        </is>
      </c>
      <c r="F11" s="8" t="inlineStr">
        <is>
          <t>Dynamic pre-trip</t>
        </is>
      </c>
      <c r="G11" s="8" t="inlineStr">
        <is>
          <t>Same information coverage</t>
        </is>
      </c>
      <c r="H11" s="8" t="inlineStr">
        <is>
          <t>CO2 estimate</t>
        </is>
      </c>
      <c r="I11" s="8" t="inlineStr">
        <is>
          <t>Filter the same 29 routes then minimize grams; 5/10/15% development</t>
        </is>
      </c>
      <c r="J11" s="8" t="inlineStr">
        <is>
          <t>Bounds estimated detour and may limit inefficient diversions</t>
        </is>
      </c>
      <c r="K11" s="8" t="inlineStr">
        <is>
          <t>No realized time guarantee; alpha not yet finally frozen</t>
        </is>
      </c>
      <c r="L11" s="8" t="inlineStr">
        <is>
          <t>Hard finite-candidate constraint is OUR adaptation; Huang uses soft sigmoid weighting</t>
        </is>
      </c>
    </row>
    <row r="12" ht="24" customHeight="1">
      <c r="A12" s="31" t="n"/>
      <c r="B12" s="31" t="n"/>
      <c r="C12" s="31" t="n"/>
      <c r="D12" s="31" t="n"/>
      <c r="E12" s="31" t="n"/>
      <c r="F12" s="31" t="n"/>
      <c r="G12" s="31" t="n"/>
      <c r="H12" s="31" t="n"/>
      <c r="I12" s="31" t="n"/>
      <c r="J12" s="31" t="n"/>
      <c r="K12" s="31" t="n"/>
      <c r="L12" s="31" t="n"/>
    </row>
    <row r="13" ht="24" customHeight="1">
      <c r="A13" s="31" t="n"/>
      <c r="B13" s="31" t="n"/>
      <c r="C13" s="31" t="n"/>
      <c r="D13" s="31" t="n"/>
      <c r="E13" s="31" t="n"/>
      <c r="F13" s="31" t="n"/>
      <c r="G13" s="31" t="n"/>
      <c r="H13" s="31" t="n"/>
      <c r="I13" s="31" t="n"/>
      <c r="J13" s="31" t="n"/>
      <c r="K13" s="31" t="n"/>
      <c r="L13" s="31" t="n"/>
    </row>
    <row r="14" ht="24" customHeight="1">
      <c r="A14" s="31" t="n"/>
      <c r="B14" s="31" t="n"/>
      <c r="C14" s="31" t="n"/>
      <c r="D14" s="31" t="n"/>
      <c r="E14" s="31" t="n"/>
      <c r="F14" s="31" t="n"/>
      <c r="G14" s="31" t="n"/>
      <c r="H14" s="31" t="n"/>
      <c r="I14" s="31" t="n"/>
      <c r="J14" s="31" t="n"/>
      <c r="K14" s="31" t="n"/>
      <c r="L14" s="3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xSplit="1" ySplit="7" topLeftCell="B8" activePane="bottomRight" state="frozen"/>
      <selection activeCell="A1" sqref="A1"/>
    </sheetView>
  </sheetViews>
  <sheetFormatPr baseColWidth="8" defaultRowHeight="15"/>
  <cols>
    <col width="28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</cols>
  <sheetData>
    <row r="1" ht="24" customHeight="1">
      <c r="A1" s="31" t="n"/>
      <c r="B1" s="31" t="n"/>
      <c r="C1" s="31" t="n"/>
      <c r="D1" s="31" t="n"/>
      <c r="E1" s="31" t="n"/>
      <c r="F1" s="31" t="n"/>
      <c r="G1" s="31" t="n"/>
    </row>
    <row r="2" ht="24" customHeight="1">
      <c r="A2" s="3" t="inlineStr">
        <is>
          <t>Where each mathematical step comes from</t>
        </is>
      </c>
      <c r="B2" s="31" t="n"/>
      <c r="C2" s="31" t="n"/>
      <c r="D2" s="31" t="n"/>
      <c r="E2" s="31" t="n"/>
      <c r="F2" s="31" t="n"/>
      <c r="G2" s="31" t="n"/>
    </row>
    <row r="3" ht="24" customHeight="1">
      <c r="A3" s="31" t="n"/>
      <c r="B3" s="31" t="n"/>
      <c r="C3" s="31" t="n"/>
      <c r="D3" s="31" t="n"/>
      <c r="E3" s="31" t="n"/>
      <c r="F3" s="31" t="n"/>
      <c r="G3" s="31" t="n"/>
    </row>
    <row r="4" ht="24" customHeight="1">
      <c r="A4" s="4" t="inlineStr">
        <is>
          <t>Unretrieved equation numbers are marked unverified; no invented page or equation attribution.</t>
        </is>
      </c>
      <c r="B4" s="31" t="n"/>
      <c r="C4" s="31" t="n"/>
      <c r="D4" s="31" t="n"/>
      <c r="E4" s="31" t="n"/>
      <c r="F4" s="31" t="n"/>
      <c r="G4" s="31" t="n"/>
    </row>
    <row r="5" ht="24" customHeight="1">
      <c r="A5" s="31" t="n"/>
      <c r="B5" s="31" t="n"/>
      <c r="C5" s="31" t="n"/>
      <c r="D5" s="31" t="n"/>
      <c r="E5" s="31" t="n"/>
      <c r="F5" s="31" t="n"/>
      <c r="G5" s="31" t="n"/>
    </row>
    <row r="6" ht="24" customHeight="1">
      <c r="A6" s="31" t="n"/>
      <c r="B6" s="31" t="n"/>
      <c r="C6" s="31" t="n"/>
      <c r="D6" s="31" t="n"/>
      <c r="E6" s="31" t="n"/>
      <c r="F6" s="31" t="n"/>
      <c r="G6" s="31" t="n"/>
    </row>
    <row r="7" ht="38" customHeight="1">
      <c r="A7" s="7" t="inlineStr">
        <is>
          <t>ID</t>
        </is>
      </c>
      <c r="B7" s="7" t="inlineStr">
        <is>
          <t>Concept</t>
        </is>
      </c>
      <c r="C7" s="7" t="inlineStr">
        <is>
          <t>Source / location</t>
        </is>
      </c>
      <c r="D7" s="7" t="inlineStr">
        <is>
          <t>Standard concept</t>
        </is>
      </c>
      <c r="E7" s="7" t="inlineStr">
        <is>
          <t>Our adaptation</t>
        </is>
      </c>
      <c r="F7" s="7" t="inlineStr">
        <is>
          <t>Code / Excel location</t>
        </is>
      </c>
      <c r="G7" s="7" t="inlineStr">
        <is>
          <t>Status</t>
        </is>
      </c>
    </row>
    <row r="8" ht="88" customHeight="1">
      <c r="A8" s="8" t="inlineStr">
        <is>
          <t>E01</t>
        </is>
      </c>
      <c r="B8" s="8" t="inlineStr">
        <is>
          <t>Minimum additive path cost</t>
        </is>
      </c>
      <c r="C8" s="8" t="inlineStr">
        <is>
          <t>Dijkstra R01; Huang R05 sec2.3</t>
        </is>
      </c>
      <c r="D8" s="8" t="inlineStr">
        <is>
          <t>min over legal paths sum edge cost</t>
        </is>
      </c>
      <c r="E8" s="8" t="inlineStr">
        <is>
          <t>Length / lagged time / lagged grams replace generic cost; exhaustive catalogue search</t>
        </is>
      </c>
      <c r="F8" s="8" t="inlineStr">
        <is>
          <t>src/observer.py choose; ROUTING_STRATEGIES</t>
        </is>
      </c>
      <c r="G8" s="8" t="inlineStr">
        <is>
          <t>Objective established; implementation adaptation</t>
        </is>
      </c>
    </row>
    <row r="9" ht="88" customHeight="1">
      <c r="A9" s="8" t="inlineStr">
        <is>
          <t>E02</t>
        </is>
      </c>
      <c r="B9" s="8" t="inlineStr">
        <is>
          <t>Time-constrained eco objective</t>
        </is>
      </c>
      <c r="C9" s="8" t="inlineStr">
        <is>
          <t>Zeng2017 R04 objective; Huang R05 eq23</t>
        </is>
      </c>
      <c r="D9" s="8" t="inlineStr">
        <is>
          <t>Huang tc=(1+epsilon)t* with soft weighting eq22</t>
        </is>
      </c>
      <c r="E9" s="8" t="inlineStr">
        <is>
          <t>min Ehat(p) subject to That(p)&lt;=(1+alpha)min That; hard filter</t>
        </is>
      </c>
      <c r="F9" s="8" t="inlineStr">
        <is>
          <t>src/observer.py choose; WORKED_EXAMPLE</t>
        </is>
      </c>
      <c r="G9" s="8" t="inlineStr">
        <is>
          <t>Adaptation; not a verbatim Huang equation; Zeng full equation number unverified</t>
        </is>
      </c>
    </row>
    <row r="10" ht="88" customHeight="1">
      <c r="A10" s="8" t="inlineStr">
        <is>
          <t>E03</t>
        </is>
      </c>
      <c r="B10" s="8" t="inlineStr">
        <is>
          <t>Native per-vehicle emissions</t>
        </is>
      </c>
      <c r="C10" s="8" t="inlineStr">
        <is>
          <t>SUMO1.25 source R36; R21</t>
        </is>
      </c>
      <c r="D10" s="8" t="inlineStr">
        <is>
          <t>M_mg / sampled vehicle-seconds * estimated traversal seconds</t>
        </is>
      </c>
      <c r="E10" s="8" t="inlineStr">
        <is>
          <t>Divide by1000 and sum external + internal connectors</t>
        </is>
      </c>
      <c r="F10" s="8" t="inlineStr">
        <is>
          <t>src/observer.py; forecast_trip_pairs.csv.gz</t>
        </is>
      </c>
      <c r="G10" s="8" t="inlineStr">
        <is>
          <t>Native algebra verified; treating sum as future route cost is our forecasting adaptation</t>
        </is>
      </c>
    </row>
    <row r="11" ht="88" customHeight="1">
      <c r="A11" s="8" t="inlineStr">
        <is>
          <t>E04</t>
        </is>
      </c>
      <c r="B11" s="8" t="inlineStr">
        <is>
          <t>Experienced journey / emission mean</t>
        </is>
      </c>
      <c r="C11" s="8" t="inlineStr">
        <is>
          <t>R19,R20; arithmetic definition</t>
        </is>
      </c>
      <c r="D11" s="8" t="inlineStr">
        <is>
          <t>duration + departDelay; CO2_abs in mg</t>
        </is>
      </c>
      <c r="E11" s="8" t="inlineStr">
        <is>
          <t>Full requested primary cohort; convert grams; average within run then equal seed mean</t>
        </is>
      </c>
      <c r="F11" s="8" t="inlineStr">
        <is>
          <t>RAW_PERFORMANCE -&gt; REDESIGN_RESULTS</t>
        </is>
      </c>
      <c r="G11" s="8" t="inlineStr">
        <is>
          <t>Our estimand/aggregation; no new estimator invention</t>
        </is>
      </c>
    </row>
    <row r="12" ht="88" customHeight="1">
      <c r="A12" s="8" t="inlineStr">
        <is>
          <t>E05</t>
        </is>
      </c>
      <c r="B12" s="8" t="inlineStr">
        <is>
          <t>Fixed-reference additive cost</t>
        </is>
      </c>
      <c r="C12" s="8" t="inlineStr">
        <is>
          <t>Keeney-Raiffa R15; DCLG R16</t>
        </is>
      </c>
      <c r="D12" s="8" t="inlineStr">
        <is>
          <t>Additive value=sum criterion weights x single-criterion values</t>
        </is>
      </c>
      <c r="E12" s="8" t="inlineStr">
        <is>
          <t>Cost C=sum w_k*y_k/a_k, with positive frozen references</t>
        </is>
      </c>
      <c r="F12" s="8" t="inlineStr">
        <is>
          <t>NORMALIZATION; MCDM_CALCULATION; =SUM(weighted cells)</t>
        </is>
      </c>
      <c r="G12" s="8" t="inlineStr">
        <is>
          <t>Our linear reference-scaling adaptation; lower is preferred</t>
        </is>
      </c>
    </row>
    <row r="13" ht="88" customHeight="1">
      <c r="A13" s="8" t="inlineStr">
        <is>
          <t>E06</t>
        </is>
      </c>
      <c r="B13" s="8" t="inlineStr">
        <is>
          <t>Decision regret / headroom</t>
        </is>
      </c>
      <c r="C13" s="8" t="inlineStr">
        <is>
          <t>Robust optimization R24; algorithm selection R08-R10</t>
        </is>
      </c>
      <c r="D13" s="8" t="inlineStr">
        <is>
          <t>Opportunity loss relative to best feasible alternative</t>
        </is>
      </c>
      <c r="E13" s="8" t="inlineStr">
        <is>
          <t>r_sa=C_sa-min_b C_sb; H_s=r_s,fixed</t>
        </is>
      </c>
      <c r="F13" s="8" t="inlineStr">
        <is>
          <t>ROBUSTNESS; =chosen_cost-MIN(policy_costs)</t>
        </is>
      </c>
      <c r="G13" s="8" t="inlineStr">
        <is>
          <t>Context-policy application; differs from VIKOR max criterion loss</t>
        </is>
      </c>
    </row>
    <row r="14" ht="88" customHeight="1">
      <c r="A14" s="8" t="inlineStr">
        <is>
          <t>E07</t>
        </is>
      </c>
      <c r="B14" s="8" t="inlineStr">
        <is>
          <t>Mean / minimax fixed</t>
        </is>
      </c>
      <c r="C14" s="8" t="inlineStr">
        <is>
          <t>R24; portfolio benchmark R09</t>
        </is>
      </c>
      <c r="D14" s="8" t="inlineStr">
        <is>
          <t>Min expected cost; min worst opportunity loss</t>
        </is>
      </c>
      <c r="E14" s="8" t="inlineStr">
        <is>
          <t>Training-context equal mean; min maximum training regret</t>
        </is>
      </c>
      <c r="F14" s="8" t="inlineStr">
        <is>
          <t>Future fixed policy selected before validation/test</t>
        </is>
      </c>
      <c r="G14" s="8" t="inlineStr">
        <is>
          <t>Finite designed-context approximation, not guarantee beyond design</t>
        </is>
      </c>
    </row>
    <row r="15" ht="88" customHeight="1">
      <c r="A15" s="8" t="inlineStr">
        <is>
          <t>E08</t>
        </is>
      </c>
      <c r="B15" s="8" t="inlineStr">
        <is>
          <t>VIKOR S and R</t>
        </is>
      </c>
      <c r="C15" s="8" t="inlineStr">
        <is>
          <t>Kosijer R30 sec3.3 pp200-201 eqs7,8</t>
        </is>
      </c>
      <c r="D15" s="8" t="inlineStr">
        <is>
          <t>S=sum w*(best-f)/(best-worst); R=max weighted ratio</t>
        </is>
      </c>
      <c r="E15" s="8" t="inlineStr">
        <is>
          <t>All cost criteria: (x-min)/(max-min); constant columns contribute0</t>
        </is>
      </c>
      <c r="F15" s="8" t="inlineStr">
        <is>
          <t>MCDM_METHOD_COMPARISON; SUM and MAX</t>
        </is>
      </c>
      <c r="G15" s="8" t="inlineStr">
        <is>
          <t>Cost-direction algebra equivalent; zero-range convention explicit</t>
        </is>
      </c>
    </row>
    <row r="16" ht="88" customHeight="1">
      <c r="A16" s="8" t="inlineStr">
        <is>
          <t>E09</t>
        </is>
      </c>
      <c r="B16" s="8" t="inlineStr">
        <is>
          <t>VIKOR Q and acceptance</t>
        </is>
      </c>
      <c r="C16" s="8" t="inlineStr">
        <is>
          <t>Kosijer R30 eqs9-11, p201</t>
        </is>
      </c>
      <c r="D16" s="8" t="inlineStr">
        <is>
          <t>Q=v*scaledS+(1-v)*scaledR; DQ=min(.25,1/(m-1))</t>
        </is>
      </c>
      <c r="E16" s="8" t="inlineStr">
        <is>
          <t>v=.5; stability best S or R or best Q at both .25 and .75</t>
        </is>
      </c>
      <c r="F16" s="8" t="inlineStr">
        <is>
          <t>MCDM_METHOD_COMPARISON; supplementary_analysis.py</t>
        </is>
      </c>
      <c r="G16" s="8" t="inlineStr">
        <is>
          <t>Follow inspected source; prior uncapped convention archived separately</t>
        </is>
      </c>
    </row>
    <row r="17" ht="88" customHeight="1">
      <c r="A17" s="8" t="inlineStr">
        <is>
          <t>E10</t>
        </is>
      </c>
      <c r="B17" s="8" t="inlineStr">
        <is>
          <t>P95</t>
        </is>
      </c>
      <c r="C17" s="8" t="inlineStr">
        <is>
          <t>Hyndman-Fan R27 type7</t>
        </is>
      </c>
      <c r="D17" s="8" t="inlineStr">
        <is>
          <t>h=1+(n-1)p; linear interpolation between order statistics</t>
        </is>
      </c>
      <c r="E17" s="8" t="inlineStr">
        <is>
          <t>p=.95 within each complete primary run; equal mean across seeds</t>
        </is>
      </c>
      <c r="F17" s="8" t="inlineStr">
        <is>
          <t>np.quantile(method=linear); P95 diagnostic column</t>
        </is>
      </c>
      <c r="G17" s="8" t="inlineStr">
        <is>
          <t>Not pooled quantile; pilot original lower order statistic unchanged</t>
        </is>
      </c>
    </row>
    <row r="18" ht="88" customHeight="1">
      <c r="A18" s="8" t="inlineStr">
        <is>
          <t>E11</t>
        </is>
      </c>
      <c r="B18" s="8" t="inlineStr">
        <is>
          <t>Prediction error screen</t>
        </is>
      </c>
      <c r="C18" s="8" t="inlineStr">
        <is>
          <t>Absolute-error arithmetic; decision-loss distinction R11</t>
        </is>
      </c>
      <c r="D18" s="8" t="inlineStr">
        <is>
          <t>MAE=mean abs(pred-actual); WAPE=sum abs error/sum actual</t>
        </is>
      </c>
      <c r="E18" s="8" t="inlineStr">
        <is>
          <t>Trip-weighted screen; bias=sum error/sum actual; thresholds declared here</t>
        </is>
      </c>
      <c r="F18" s="8" t="inlineStr">
        <is>
          <t>analysis/forecast_summary.csv; VALIDATION</t>
        </is>
      </c>
      <c r="G18" s="8" t="inlineStr">
        <is>
          <t>Research tolerances not established acceptance standards</t>
        </is>
      </c>
    </row>
    <row r="19" ht="88" customHeight="1">
      <c r="A19" s="8" t="inlineStr">
        <is>
          <t>E12</t>
        </is>
      </c>
      <c r="B19" s="8" t="inlineStr">
        <is>
          <t>Probe selection loss</t>
        </is>
      </c>
      <c r="C19" s="8" t="inlineStr">
        <is>
          <t>Opportunity loss R24; decision-loss distinction R11</t>
        </is>
      </c>
      <c r="D19" s="8" t="inlineStr">
        <is>
          <t>Observed cost of predicted minimizer minus observed minimum</t>
        </is>
      </c>
      <c r="E19" s="8" t="inlineStr">
        <is>
          <t>Divide grams lost by observed best grams within each replay panel</t>
        </is>
      </c>
      <c r="F19" s="8" t="inlineStr">
        <is>
          <t>analysis/probe_runs.csv; probe_gate.json</t>
        </is>
      </c>
      <c r="G19" s="8" t="inlineStr">
        <is>
          <t>Our relative emission decision diagnostic; 8 panels, not 232 independent contexts</t>
        </is>
      </c>
    </row>
    <row r="20" ht="88" customHeight="1">
      <c r="A20" s="8" t="inlineStr">
        <is>
          <t>E13</t>
        </is>
      </c>
      <c r="B20" s="8" t="inlineStr">
        <is>
          <t>Prediction-then-selection</t>
        </is>
      </c>
      <c r="C20" s="8" t="inlineStr">
        <is>
          <t>Rice R08; SATzilla R10; CART R37</t>
        </is>
      </c>
      <c r="D20" s="8" t="inlineStr">
        <is>
          <t>Predict algorithm performance from instance features</t>
        </is>
      </c>
      <c r="E20" s="8" t="inlineStr">
        <is>
          <t>Multi-output CART -&gt; predicted normalized policy criteria -&gt; same MCDM</t>
        </is>
      </c>
      <c r="F20" s="8" t="inlineStr">
        <is>
          <t>ML_SELECTION planned only</t>
        </is>
      </c>
      <c r="G20" s="8" t="inlineStr">
        <is>
          <t>No fitted new ML and no SPO training loss claimed</t>
        </is>
      </c>
    </row>
    <row r="21" ht="88" customHeight="1">
      <c r="A21" s="8" t="inlineStr">
        <is>
          <t>E14</t>
        </is>
      </c>
      <c r="B21" s="8" t="inlineStr">
        <is>
          <t>TOPSIS / PROMETHEE comparison only</t>
        </is>
      </c>
      <c r="C21" s="8" t="inlineStr">
        <is>
          <t>R12,R13 / R14</t>
        </is>
      </c>
      <c r="D21" s="8" t="inlineStr">
        <is>
          <t>Vector distances to ideals / pairwise preference flows</t>
        </is>
      </c>
      <c r="E21" s="8" t="inlineStr">
        <is>
          <t>No numeric implementation in this release</t>
        </is>
      </c>
      <c r="F21" s="8" t="inlineStr">
        <is>
          <t>LITERATURE_METHODS; report</t>
        </is>
      </c>
      <c r="G21" s="8" t="inlineStr">
        <is>
          <t>Avoid extra unexplained methods and unjustified thresholds</t>
        </is>
      </c>
    </row>
    <row r="22" ht="24" customHeight="1">
      <c r="A22" s="31" t="n"/>
      <c r="B22" s="31" t="n"/>
      <c r="C22" s="31" t="n"/>
      <c r="D22" s="31" t="n"/>
      <c r="E22" s="31" t="n"/>
      <c r="F22" s="31" t="n"/>
      <c r="G22" s="31" t="n"/>
    </row>
    <row r="23" ht="24" customHeight="1">
      <c r="A23" s="31" t="n"/>
      <c r="B23" s="31" t="n"/>
      <c r="C23" s="31" t="n"/>
      <c r="D23" s="31" t="n"/>
      <c r="E23" s="31" t="n"/>
      <c r="F23" s="31" t="n"/>
      <c r="G23" s="31" t="n"/>
    </row>
    <row r="24" ht="24" customHeight="1">
      <c r="A24" s="31" t="n"/>
      <c r="B24" s="31" t="n"/>
      <c r="C24" s="31" t="n"/>
      <c r="D24" s="31" t="n"/>
      <c r="E24" s="31" t="n"/>
      <c r="F24" s="31" t="n"/>
      <c r="G24" s="3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0"/>
  <sheetViews>
    <sheetView showGridLines="0" workbookViewId="0">
      <pane xSplit="1" ySplit="7" topLeftCell="B8" activePane="bottomRight" state="frozen"/>
      <selection activeCell="A1" sqref="A1"/>
    </sheetView>
  </sheetViews>
  <sheetFormatPr baseColWidth="8" defaultRowHeight="15"/>
  <cols>
    <col width="26" customWidth="1" min="1" max="1"/>
    <col width="32" customWidth="1" min="2" max="2"/>
    <col width="26" customWidth="1" min="3" max="3"/>
    <col width="45" customWidth="1" min="4" max="4"/>
    <col width="24" customWidth="1" min="5" max="5"/>
    <col width="27" customWidth="1" min="6" max="6"/>
    <col width="50" customWidth="1" min="7" max="7"/>
    <col width="20" customWidth="1" min="8" max="8"/>
    <col width="20" customWidth="1" min="9" max="9"/>
    <col width="20" customWidth="1" min="10" max="10"/>
  </cols>
  <sheetData>
    <row r="1" ht="24" customHeight="1">
      <c r="A1" s="31" t="n"/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</row>
    <row r="2" ht="24" customHeight="1">
      <c r="A2" s="3" t="inlineStr">
        <is>
          <t>Engineering candidate: compact cross-connected urban mesh</t>
        </is>
      </c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</row>
    <row r="3" ht="24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</row>
    <row r="4" ht="24" customHeight="1">
      <c r="A4" s="4" t="inlineStr">
        <is>
          <t>12 signalized junctions; 47 external links; 29 legal simple primary paths. One topology, no real-city inference.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</row>
    <row r="5" ht="24" customHeight="1">
      <c r="A5" s="31" t="n"/>
      <c r="B5" s="31" t="n"/>
      <c r="C5" s="31" t="n"/>
      <c r="D5" s="31" t="n"/>
      <c r="E5" s="31" t="n"/>
      <c r="F5" s="31" t="n"/>
      <c r="G5" s="31" t="n"/>
      <c r="H5" s="31" t="n"/>
      <c r="I5" s="31" t="n"/>
      <c r="J5" s="31" t="n"/>
    </row>
    <row r="6" ht="24" customHeight="1">
      <c r="A6" s="31" t="n"/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</row>
    <row r="7" ht="38" customHeight="1">
      <c r="A7" s="7" t="inlineStr">
        <is>
          <t>Candidate</t>
        </is>
      </c>
      <c r="B7" s="7" t="inlineStr">
        <is>
          <t>Core junctions</t>
        </is>
      </c>
      <c r="C7" s="7" t="inlineStr">
        <is>
          <t>Directed core links</t>
        </is>
      </c>
      <c r="D7" s="7" t="inlineStr">
        <is>
          <t>Simple graph paths</t>
        </is>
      </c>
      <c r="E7" s="7" t="inlineStr">
        <is>
          <t>Min core length (m)</t>
        </is>
      </c>
      <c r="F7" s="7" t="inlineStr">
        <is>
          <t>Max core length (m)</t>
        </is>
      </c>
      <c r="G7" s="7" t="inlineStr">
        <is>
          <t>Evidence status</t>
        </is>
      </c>
      <c r="H7" s="31" t="n"/>
      <c r="I7" s="31" t="n"/>
      <c r="J7" s="31" t="n"/>
    </row>
    <row r="8" ht="24" customHeight="1">
      <c r="A8" s="31" t="inlineStr">
        <is>
          <t>2x4</t>
        </is>
      </c>
      <c r="B8" s="31" t="n">
        <v>8</v>
      </c>
      <c r="C8" s="31" t="n">
        <v>20</v>
      </c>
      <c r="D8" s="31" t="n">
        <v>8</v>
      </c>
      <c r="E8" s="31" t="n">
        <v>1200</v>
      </c>
      <c r="F8" s="31" t="n">
        <v>2400</v>
      </c>
      <c r="G8" s="31" t="inlineStr">
        <is>
          <t>Analytical graph only; not SUMO-engineered</t>
        </is>
      </c>
      <c r="H8" s="31" t="n"/>
      <c r="I8" s="31" t="n"/>
      <c r="J8" s="31" t="n"/>
    </row>
    <row r="9" ht="24" customHeight="1">
      <c r="A9" s="31" t="inlineStr">
        <is>
          <t>3x3</t>
        </is>
      </c>
      <c r="B9" s="31" t="n">
        <v>9</v>
      </c>
      <c r="C9" s="31" t="n">
        <v>24</v>
      </c>
      <c r="D9" s="31" t="n">
        <v>9</v>
      </c>
      <c r="E9" s="31" t="n">
        <v>800</v>
      </c>
      <c r="F9" s="31" t="n">
        <v>2000</v>
      </c>
      <c r="G9" s="31" t="inlineStr">
        <is>
          <t>Analytical graph only; not SUMO-engineered</t>
        </is>
      </c>
      <c r="H9" s="31" t="n"/>
      <c r="I9" s="31" t="n"/>
      <c r="J9" s="31" t="n"/>
    </row>
    <row r="10" ht="24" customHeight="1">
      <c r="A10" s="31" t="inlineStr">
        <is>
          <t>3x4</t>
        </is>
      </c>
      <c r="B10" s="31" t="n">
        <v>12</v>
      </c>
      <c r="C10" s="31" t="n">
        <v>34</v>
      </c>
      <c r="D10" s="31" t="n">
        <v>29</v>
      </c>
      <c r="E10" s="31" t="n">
        <v>1200</v>
      </c>
      <c r="F10" s="31" t="n">
        <v>3200</v>
      </c>
      <c r="G10" s="31" t="inlineStr">
        <is>
          <t>SUMO engineering tested</t>
        </is>
      </c>
      <c r="H10" s="31" t="n"/>
      <c r="I10" s="31" t="n"/>
      <c r="J10" s="31" t="n"/>
    </row>
    <row r="11" ht="24" customHeight="1">
      <c r="A11" s="31" t="n"/>
      <c r="B11" s="31" t="n"/>
      <c r="C11" s="31" t="n"/>
      <c r="D11" s="31" t="n"/>
      <c r="E11" s="31" t="n"/>
      <c r="F11" s="31" t="n"/>
      <c r="G11" s="31" t="n"/>
      <c r="H11" s="31" t="n"/>
      <c r="I11" s="31" t="n"/>
      <c r="J11" s="31" t="n"/>
    </row>
    <row r="12" ht="24" customHeight="1">
      <c r="A12" s="31" t="n"/>
      <c r="B12" s="31" t="n"/>
      <c r="C12" s="31" t="n"/>
      <c r="D12" s="31" t="n"/>
      <c r="E12" s="31" t="n"/>
      <c r="F12" s="31" t="n"/>
      <c r="G12" s="31" t="n"/>
      <c r="H12" s="31" t="n"/>
      <c r="I12" s="31" t="n"/>
      <c r="J12" s="31" t="n"/>
    </row>
    <row r="13" ht="24" customHeight="1">
      <c r="A13" s="31" t="inlineStr">
        <is>
          <t>Primary OD</t>
        </is>
      </c>
      <c r="B13" s="31" t="inlineStr">
        <is>
          <t>O -&gt; C0 ... C3 -&gt; D</t>
        </is>
      </c>
      <c r="C13" s="31" t="n"/>
      <c r="D13" s="31" t="n"/>
      <c r="E13" s="31" t="n"/>
      <c r="F13" s="31" t="n"/>
      <c r="G13" s="31" t="n"/>
      <c r="H13" s="31" t="n"/>
      <c r="I13" s="31" t="n"/>
      <c r="J13" s="31" t="n"/>
    </row>
    <row r="14" ht="24" customHeight="1">
      <c r="A14" s="31" t="inlineStr">
        <is>
          <t>Background</t>
        </is>
      </c>
      <c r="B14" s="31" t="inlineStr">
        <is>
          <t>Four fixed NS/SN streams at columns 1 and 2</t>
        </is>
      </c>
      <c r="C14" s="31" t="n"/>
      <c r="D14" s="31" t="n"/>
      <c r="E14" s="31" t="n"/>
      <c r="F14" s="31" t="n"/>
      <c r="G14" s="31" t="n"/>
      <c r="H14" s="31" t="n"/>
      <c r="I14" s="31" t="n"/>
      <c r="J14" s="31" t="n"/>
    </row>
    <row r="15" ht="24" customHeight="1">
      <c r="A15" s="31" t="inlineStr">
        <is>
          <t>Signal programs</t>
        </is>
      </c>
      <c r="B15" s="31" t="inlineStr">
        <is>
          <t>60 s; EW/NS 26/26 or 36/16; two 3 s yellow + 1 s all-red</t>
        </is>
      </c>
      <c r="C15" s="31" t="n"/>
      <c r="D15" s="31" t="n"/>
      <c r="E15" s="31" t="n"/>
      <c r="F15" s="31" t="n"/>
      <c r="G15" s="31" t="n"/>
      <c r="H15" s="31" t="n"/>
      <c r="I15" s="31" t="n"/>
      <c r="J15" s="31" t="n"/>
    </row>
    <row r="16" ht="24" customHeight="1">
      <c r="A16" s="31" t="inlineStr">
        <is>
          <t>Capacity specification</t>
        </is>
      </c>
      <c r="B16" s="31" t="inlineStr">
        <is>
          <t>Lane counts are inputs, not calibrated saturation capacities.</t>
        </is>
      </c>
      <c r="C16" s="31" t="n"/>
      <c r="D16" s="31" t="n"/>
      <c r="E16" s="31" t="n"/>
      <c r="F16" s="31" t="n"/>
      <c r="G16" s="31" t="n"/>
      <c r="H16" s="31" t="n"/>
      <c r="I16" s="31" t="n"/>
      <c r="J16" s="31" t="n"/>
    </row>
    <row r="17" ht="24" customHeight="1">
      <c r="A17" s="31" t="n"/>
      <c r="B17" s="31" t="n"/>
      <c r="C17" s="31" t="n"/>
      <c r="D17" s="31" t="n"/>
      <c r="E17" s="31" t="n"/>
      <c r="F17" s="31" t="n"/>
      <c r="G17" s="31" t="n"/>
      <c r="H17" s="31" t="n"/>
      <c r="I17" s="31" t="n"/>
      <c r="J17" s="31" t="n"/>
    </row>
    <row r="18" ht="24" customHeight="1">
      <c r="A18" s="31" t="n"/>
      <c r="B18" s="31" t="n"/>
      <c r="C18" s="31" t="n"/>
      <c r="D18" s="31" t="n"/>
      <c r="E18" s="31" t="n"/>
      <c r="F18" s="31" t="n"/>
      <c r="G18" s="31" t="n"/>
      <c r="H18" s="31" t="n"/>
      <c r="I18" s="31" t="n"/>
      <c r="J18" s="31" t="n"/>
    </row>
    <row r="19" ht="38" customHeight="1">
      <c r="A19" s="7" t="inlineStr">
        <is>
          <t>External link</t>
        </is>
      </c>
      <c r="B19" s="7" t="inlineStr">
        <is>
          <t>From</t>
        </is>
      </c>
      <c r="C19" s="7" t="inlineStr">
        <is>
          <t>To</t>
        </is>
      </c>
      <c r="D19" s="7" t="inlineStr">
        <is>
          <t>Lanes</t>
        </is>
      </c>
      <c r="E19" s="7" t="inlineStr">
        <is>
          <t>Speed (km/h)</t>
        </is>
      </c>
      <c r="F19" s="7" t="inlineStr">
        <is>
          <t>Requested length (m)</t>
        </is>
      </c>
      <c r="G19" s="31" t="n"/>
      <c r="H19" s="31" t="n"/>
      <c r="I19" s="31" t="n"/>
      <c r="J19" s="31" t="n"/>
    </row>
    <row r="20" ht="24" customHeight="1">
      <c r="A20" s="31" t="inlineStr">
        <is>
          <t>C0_C1</t>
        </is>
      </c>
      <c r="B20" s="31" t="inlineStr">
        <is>
          <t>C0</t>
        </is>
      </c>
      <c r="C20" s="31" t="inlineStr">
        <is>
          <t>C1</t>
        </is>
      </c>
      <c r="D20" s="31" t="n">
        <v>1</v>
      </c>
      <c r="E20" s="31" t="n">
        <v>50</v>
      </c>
      <c r="F20" s="31" t="n">
        <v>400</v>
      </c>
      <c r="G20" s="31" t="n"/>
      <c r="H20" s="31" t="n"/>
      <c r="I20" s="31" t="n"/>
      <c r="J20" s="31" t="n"/>
    </row>
    <row r="21" ht="24" customHeight="1">
      <c r="A21" s="31" t="inlineStr">
        <is>
          <t>C0_L0</t>
        </is>
      </c>
      <c r="B21" s="31" t="inlineStr">
        <is>
          <t>C0</t>
        </is>
      </c>
      <c r="C21" s="31" t="inlineStr">
        <is>
          <t>L0</t>
        </is>
      </c>
      <c r="D21" s="31" t="n">
        <v>1</v>
      </c>
      <c r="E21" s="31" t="n">
        <v>40</v>
      </c>
      <c r="F21" s="31" t="n">
        <v>300</v>
      </c>
      <c r="G21" s="31" t="n"/>
      <c r="H21" s="31" t="n"/>
      <c r="I21" s="31" t="n"/>
      <c r="J21" s="31" t="n"/>
    </row>
    <row r="22" ht="24" customHeight="1">
      <c r="A22" s="31" t="inlineStr">
        <is>
          <t>C0_U0</t>
        </is>
      </c>
      <c r="B22" s="31" t="inlineStr">
        <is>
          <t>C0</t>
        </is>
      </c>
      <c r="C22" s="31" t="inlineStr">
        <is>
          <t>U0</t>
        </is>
      </c>
      <c r="D22" s="31" t="n">
        <v>1</v>
      </c>
      <c r="E22" s="31" t="n">
        <v>40</v>
      </c>
      <c r="F22" s="31" t="n">
        <v>300</v>
      </c>
      <c r="G22" s="31" t="n"/>
      <c r="H22" s="31" t="n"/>
      <c r="I22" s="31" t="n"/>
      <c r="J22" s="31" t="n"/>
    </row>
    <row r="23" ht="24" customHeight="1">
      <c r="A23" s="31" t="inlineStr">
        <is>
          <t>C1_C0</t>
        </is>
      </c>
      <c r="B23" s="31" t="inlineStr">
        <is>
          <t>C1</t>
        </is>
      </c>
      <c r="C23" s="31" t="inlineStr">
        <is>
          <t>C0</t>
        </is>
      </c>
      <c r="D23" s="31" t="n">
        <v>1</v>
      </c>
      <c r="E23" s="31" t="n">
        <v>50</v>
      </c>
      <c r="F23" s="31" t="n">
        <v>400</v>
      </c>
      <c r="G23" s="31" t="n"/>
      <c r="H23" s="31" t="n"/>
      <c r="I23" s="31" t="n"/>
      <c r="J23" s="31" t="n"/>
    </row>
    <row r="24" ht="24" customHeight="1">
      <c r="A24" s="31" t="inlineStr">
        <is>
          <t>C1_CR</t>
        </is>
      </c>
      <c r="B24" s="31" t="inlineStr">
        <is>
          <t>C1</t>
        </is>
      </c>
      <c r="C24" s="31" t="inlineStr">
        <is>
          <t>CR</t>
        </is>
      </c>
      <c r="D24" s="31" t="n">
        <v>1</v>
      </c>
      <c r="E24" s="31" t="n">
        <v>50</v>
      </c>
      <c r="F24" s="31" t="n">
        <v>150</v>
      </c>
      <c r="G24" s="31" t="n"/>
      <c r="H24" s="31" t="n"/>
      <c r="I24" s="31" t="n"/>
      <c r="J24" s="31" t="n"/>
    </row>
    <row r="25" ht="24" customHeight="1">
      <c r="A25" s="31" t="inlineStr">
        <is>
          <t>C1_L1</t>
        </is>
      </c>
      <c r="B25" s="31" t="inlineStr">
        <is>
          <t>C1</t>
        </is>
      </c>
      <c r="C25" s="31" t="inlineStr">
        <is>
          <t>L1</t>
        </is>
      </c>
      <c r="D25" s="31" t="n">
        <v>1</v>
      </c>
      <c r="E25" s="31" t="n">
        <v>40</v>
      </c>
      <c r="F25" s="31" t="n">
        <v>300</v>
      </c>
      <c r="G25" s="31" t="n"/>
      <c r="H25" s="31" t="n"/>
      <c r="I25" s="31" t="n"/>
      <c r="J25" s="31" t="n"/>
    </row>
    <row r="26" ht="24" customHeight="1">
      <c r="A26" s="31" t="inlineStr">
        <is>
          <t>C1_U1</t>
        </is>
      </c>
      <c r="B26" s="31" t="inlineStr">
        <is>
          <t>C1</t>
        </is>
      </c>
      <c r="C26" s="31" t="inlineStr">
        <is>
          <t>U1</t>
        </is>
      </c>
      <c r="D26" s="31" t="n">
        <v>1</v>
      </c>
      <c r="E26" s="31" t="n">
        <v>40</v>
      </c>
      <c r="F26" s="31" t="n">
        <v>300</v>
      </c>
      <c r="G26" s="31" t="n"/>
      <c r="H26" s="31" t="n"/>
      <c r="I26" s="31" t="n"/>
      <c r="J26" s="31" t="n"/>
    </row>
    <row r="27" ht="24" customHeight="1">
      <c r="A27" s="31" t="inlineStr">
        <is>
          <t>C2_C1</t>
        </is>
      </c>
      <c r="B27" s="31" t="inlineStr">
        <is>
          <t>C2</t>
        </is>
      </c>
      <c r="C27" s="31" t="inlineStr">
        <is>
          <t>C1</t>
        </is>
      </c>
      <c r="D27" s="31" t="n">
        <v>1</v>
      </c>
      <c r="E27" s="31" t="n">
        <v>50</v>
      </c>
      <c r="F27" s="31" t="n">
        <v>400</v>
      </c>
      <c r="G27" s="31" t="n"/>
      <c r="H27" s="31" t="n"/>
      <c r="I27" s="31" t="n"/>
      <c r="J27" s="31" t="n"/>
    </row>
    <row r="28" ht="24" customHeight="1">
      <c r="A28" s="31" t="inlineStr">
        <is>
          <t>C2_C3</t>
        </is>
      </c>
      <c r="B28" s="31" t="inlineStr">
        <is>
          <t>C2</t>
        </is>
      </c>
      <c r="C28" s="31" t="inlineStr">
        <is>
          <t>C3</t>
        </is>
      </c>
      <c r="D28" s="31" t="n">
        <v>1</v>
      </c>
      <c r="E28" s="31" t="n">
        <v>50</v>
      </c>
      <c r="F28" s="31" t="n">
        <v>400</v>
      </c>
      <c r="G28" s="31" t="n"/>
      <c r="H28" s="31" t="n"/>
      <c r="I28" s="31" t="n"/>
      <c r="J28" s="31" t="n"/>
    </row>
    <row r="29" ht="24" customHeight="1">
      <c r="A29" s="31" t="inlineStr">
        <is>
          <t>C2_L2</t>
        </is>
      </c>
      <c r="B29" s="31" t="inlineStr">
        <is>
          <t>C2</t>
        </is>
      </c>
      <c r="C29" s="31" t="inlineStr">
        <is>
          <t>L2</t>
        </is>
      </c>
      <c r="D29" s="31" t="n">
        <v>1</v>
      </c>
      <c r="E29" s="31" t="n">
        <v>40</v>
      </c>
      <c r="F29" s="31" t="n">
        <v>300</v>
      </c>
      <c r="G29" s="31" t="n"/>
      <c r="H29" s="31" t="n"/>
      <c r="I29" s="31" t="n"/>
      <c r="J29" s="31" t="n"/>
    </row>
    <row r="30" ht="24" customHeight="1">
      <c r="A30" s="31" t="inlineStr">
        <is>
          <t>C2_U2</t>
        </is>
      </c>
      <c r="B30" s="31" t="inlineStr">
        <is>
          <t>C2</t>
        </is>
      </c>
      <c r="C30" s="31" t="inlineStr">
        <is>
          <t>U2</t>
        </is>
      </c>
      <c r="D30" s="31" t="n">
        <v>1</v>
      </c>
      <c r="E30" s="31" t="n">
        <v>40</v>
      </c>
      <c r="F30" s="31" t="n">
        <v>300</v>
      </c>
      <c r="G30" s="31" t="n"/>
      <c r="H30" s="31" t="n"/>
      <c r="I30" s="31" t="n"/>
      <c r="J30" s="31" t="n"/>
    </row>
    <row r="31" ht="24" customHeight="1">
      <c r="A31" s="31" t="inlineStr">
        <is>
          <t>C3_C2</t>
        </is>
      </c>
      <c r="B31" s="31" t="inlineStr">
        <is>
          <t>C3</t>
        </is>
      </c>
      <c r="C31" s="31" t="inlineStr">
        <is>
          <t>C2</t>
        </is>
      </c>
      <c r="D31" s="31" t="n">
        <v>1</v>
      </c>
      <c r="E31" s="31" t="n">
        <v>50</v>
      </c>
      <c r="F31" s="31" t="n">
        <v>400</v>
      </c>
      <c r="G31" s="31" t="n"/>
      <c r="H31" s="31" t="n"/>
      <c r="I31" s="31" t="n"/>
      <c r="J31" s="31" t="n"/>
    </row>
    <row r="32" ht="24" customHeight="1">
      <c r="A32" s="31" t="inlineStr">
        <is>
          <t>C3_L3</t>
        </is>
      </c>
      <c r="B32" s="31" t="inlineStr">
        <is>
          <t>C3</t>
        </is>
      </c>
      <c r="C32" s="31" t="inlineStr">
        <is>
          <t>L3</t>
        </is>
      </c>
      <c r="D32" s="31" t="n">
        <v>1</v>
      </c>
      <c r="E32" s="31" t="n">
        <v>40</v>
      </c>
      <c r="F32" s="31" t="n">
        <v>300</v>
      </c>
      <c r="G32" s="31" t="n"/>
      <c r="H32" s="31" t="n"/>
      <c r="I32" s="31" t="n"/>
      <c r="J32" s="31" t="n"/>
    </row>
    <row r="33" ht="24" customHeight="1">
      <c r="A33" s="31" t="inlineStr">
        <is>
          <t>C3_U3</t>
        </is>
      </c>
      <c r="B33" s="31" t="inlineStr">
        <is>
          <t>C3</t>
        </is>
      </c>
      <c r="C33" s="31" t="inlineStr">
        <is>
          <t>U3</t>
        </is>
      </c>
      <c r="D33" s="31" t="n">
        <v>1</v>
      </c>
      <c r="E33" s="31" t="n">
        <v>40</v>
      </c>
      <c r="F33" s="31" t="n">
        <v>300</v>
      </c>
      <c r="G33" s="31" t="n"/>
      <c r="H33" s="31" t="n"/>
      <c r="I33" s="31" t="n"/>
      <c r="J33" s="31" t="n"/>
    </row>
    <row r="34" ht="24" customHeight="1">
      <c r="A34" s="31" t="inlineStr">
        <is>
          <t>CR_C2</t>
        </is>
      </c>
      <c r="B34" s="31" t="inlineStr">
        <is>
          <t>CR</t>
        </is>
      </c>
      <c r="C34" s="31" t="inlineStr">
        <is>
          <t>C2</t>
        </is>
      </c>
      <c r="D34" s="31" t="n">
        <v>1</v>
      </c>
      <c r="E34" s="31" t="n">
        <v>50</v>
      </c>
      <c r="F34" s="31" t="n">
        <v>250</v>
      </c>
      <c r="G34" s="31" t="n"/>
      <c r="H34" s="31" t="n"/>
      <c r="I34" s="31" t="n"/>
      <c r="J34" s="31" t="n"/>
    </row>
    <row r="35" ht="24" customHeight="1">
      <c r="A35" s="31" t="inlineStr">
        <is>
          <t>L0_C0</t>
        </is>
      </c>
      <c r="B35" s="31" t="inlineStr">
        <is>
          <t>L0</t>
        </is>
      </c>
      <c r="C35" s="31" t="inlineStr">
        <is>
          <t>C0</t>
        </is>
      </c>
      <c r="D35" s="31" t="n">
        <v>1</v>
      </c>
      <c r="E35" s="31" t="n">
        <v>40</v>
      </c>
      <c r="F35" s="31" t="n">
        <v>300</v>
      </c>
      <c r="G35" s="31" t="n"/>
      <c r="H35" s="31" t="n"/>
      <c r="I35" s="31" t="n"/>
      <c r="J35" s="31" t="n"/>
    </row>
    <row r="36" ht="24" customHeight="1">
      <c r="A36" s="31" t="inlineStr">
        <is>
          <t>L0_L1</t>
        </is>
      </c>
      <c r="B36" s="31" t="inlineStr">
        <is>
          <t>L0</t>
        </is>
      </c>
      <c r="C36" s="31" t="inlineStr">
        <is>
          <t>L1</t>
        </is>
      </c>
      <c r="D36" s="31" t="n">
        <v>2</v>
      </c>
      <c r="E36" s="31" t="n">
        <v>60</v>
      </c>
      <c r="F36" s="31" t="n">
        <v>400</v>
      </c>
      <c r="G36" s="31" t="n"/>
      <c r="H36" s="31" t="n"/>
      <c r="I36" s="31" t="n"/>
      <c r="J36" s="31" t="n"/>
    </row>
    <row r="37" ht="24" customHeight="1">
      <c r="A37" s="31" t="inlineStr">
        <is>
          <t>L1_C1</t>
        </is>
      </c>
      <c r="B37" s="31" t="inlineStr">
        <is>
          <t>L1</t>
        </is>
      </c>
      <c r="C37" s="31" t="inlineStr">
        <is>
          <t>C1</t>
        </is>
      </c>
      <c r="D37" s="31" t="n">
        <v>1</v>
      </c>
      <c r="E37" s="31" t="n">
        <v>40</v>
      </c>
      <c r="F37" s="31" t="n">
        <v>300</v>
      </c>
      <c r="G37" s="31" t="n"/>
      <c r="H37" s="31" t="n"/>
      <c r="I37" s="31" t="n"/>
      <c r="J37" s="31" t="n"/>
    </row>
    <row r="38" ht="24" customHeight="1">
      <c r="A38" s="31" t="inlineStr">
        <is>
          <t>L1_L0</t>
        </is>
      </c>
      <c r="B38" s="31" t="inlineStr">
        <is>
          <t>L1</t>
        </is>
      </c>
      <c r="C38" s="31" t="inlineStr">
        <is>
          <t>L0</t>
        </is>
      </c>
      <c r="D38" s="31" t="n">
        <v>2</v>
      </c>
      <c r="E38" s="31" t="n">
        <v>60</v>
      </c>
      <c r="F38" s="31" t="n">
        <v>400</v>
      </c>
      <c r="G38" s="31" t="n"/>
      <c r="H38" s="31" t="n"/>
      <c r="I38" s="31" t="n"/>
      <c r="J38" s="31" t="n"/>
    </row>
    <row r="39" ht="24" customHeight="1">
      <c r="A39" s="31" t="inlineStr">
        <is>
          <t>L1_LR</t>
        </is>
      </c>
      <c r="B39" s="31" t="inlineStr">
        <is>
          <t>L1</t>
        </is>
      </c>
      <c r="C39" s="31" t="inlineStr">
        <is>
          <t>LR</t>
        </is>
      </c>
      <c r="D39" s="31" t="n">
        <v>2</v>
      </c>
      <c r="E39" s="31" t="n">
        <v>60</v>
      </c>
      <c r="F39" s="31" t="n">
        <v>150</v>
      </c>
      <c r="G39" s="31" t="n"/>
      <c r="H39" s="31" t="n"/>
      <c r="I39" s="31" t="n"/>
      <c r="J39" s="31" t="n"/>
    </row>
    <row r="40" ht="24" customHeight="1">
      <c r="A40" s="31" t="inlineStr">
        <is>
          <t>L1_S1</t>
        </is>
      </c>
      <c r="B40" s="31" t="inlineStr">
        <is>
          <t>L1</t>
        </is>
      </c>
      <c r="C40" s="31" t="inlineStr">
        <is>
          <t>S1</t>
        </is>
      </c>
      <c r="D40" s="31" t="n">
        <v>1</v>
      </c>
      <c r="E40" s="31" t="n">
        <v>40</v>
      </c>
      <c r="F40" s="31" t="n">
        <v>600</v>
      </c>
      <c r="G40" s="31" t="n"/>
      <c r="H40" s="31" t="n"/>
      <c r="I40" s="31" t="n"/>
      <c r="J40" s="31" t="n"/>
    </row>
    <row r="41" ht="24" customHeight="1">
      <c r="A41" s="31" t="inlineStr">
        <is>
          <t>L2_C2</t>
        </is>
      </c>
      <c r="B41" s="31" t="inlineStr">
        <is>
          <t>L2</t>
        </is>
      </c>
      <c r="C41" s="31" t="inlineStr">
        <is>
          <t>C2</t>
        </is>
      </c>
      <c r="D41" s="31" t="n">
        <v>1</v>
      </c>
      <c r="E41" s="31" t="n">
        <v>40</v>
      </c>
      <c r="F41" s="31" t="n">
        <v>300</v>
      </c>
      <c r="G41" s="31" t="n"/>
      <c r="H41" s="31" t="n"/>
      <c r="I41" s="31" t="n"/>
      <c r="J41" s="31" t="n"/>
    </row>
    <row r="42" ht="24" customHeight="1">
      <c r="A42" s="31" t="inlineStr">
        <is>
          <t>L2_L1</t>
        </is>
      </c>
      <c r="B42" s="31" t="inlineStr">
        <is>
          <t>L2</t>
        </is>
      </c>
      <c r="C42" s="31" t="inlineStr">
        <is>
          <t>L1</t>
        </is>
      </c>
      <c r="D42" s="31" t="n">
        <v>2</v>
      </c>
      <c r="E42" s="31" t="n">
        <v>60</v>
      </c>
      <c r="F42" s="31" t="n">
        <v>400</v>
      </c>
      <c r="G42" s="31" t="n"/>
      <c r="H42" s="31" t="n"/>
      <c r="I42" s="31" t="n"/>
      <c r="J42" s="31" t="n"/>
    </row>
    <row r="43" ht="24" customHeight="1">
      <c r="A43" s="31" t="inlineStr">
        <is>
          <t>L2_L3</t>
        </is>
      </c>
      <c r="B43" s="31" t="inlineStr">
        <is>
          <t>L2</t>
        </is>
      </c>
      <c r="C43" s="31" t="inlineStr">
        <is>
          <t>L3</t>
        </is>
      </c>
      <c r="D43" s="31" t="n">
        <v>2</v>
      </c>
      <c r="E43" s="31" t="n">
        <v>60</v>
      </c>
      <c r="F43" s="31" t="n">
        <v>400</v>
      </c>
      <c r="G43" s="31" t="n"/>
      <c r="H43" s="31" t="n"/>
      <c r="I43" s="31" t="n"/>
      <c r="J43" s="31" t="n"/>
    </row>
    <row r="44" ht="24" customHeight="1">
      <c r="A44" s="31" t="inlineStr">
        <is>
          <t>L2_S2</t>
        </is>
      </c>
      <c r="B44" s="31" t="inlineStr">
        <is>
          <t>L2</t>
        </is>
      </c>
      <c r="C44" s="31" t="inlineStr">
        <is>
          <t>S2</t>
        </is>
      </c>
      <c r="D44" s="31" t="n">
        <v>1</v>
      </c>
      <c r="E44" s="31" t="n">
        <v>40</v>
      </c>
      <c r="F44" s="31" t="n">
        <v>600</v>
      </c>
      <c r="G44" s="31" t="n"/>
      <c r="H44" s="31" t="n"/>
      <c r="I44" s="31" t="n"/>
      <c r="J44" s="31" t="n"/>
    </row>
    <row r="45" ht="24" customHeight="1">
      <c r="A45" s="31" t="inlineStr">
        <is>
          <t>L3_C3</t>
        </is>
      </c>
      <c r="B45" s="31" t="inlineStr">
        <is>
          <t>L3</t>
        </is>
      </c>
      <c r="C45" s="31" t="inlineStr">
        <is>
          <t>C3</t>
        </is>
      </c>
      <c r="D45" s="31" t="n">
        <v>1</v>
      </c>
      <c r="E45" s="31" t="n">
        <v>40</v>
      </c>
      <c r="F45" s="31" t="n">
        <v>300</v>
      </c>
      <c r="G45" s="31" t="n"/>
      <c r="H45" s="31" t="n"/>
      <c r="I45" s="31" t="n"/>
      <c r="J45" s="31" t="n"/>
    </row>
    <row r="46" ht="24" customHeight="1">
      <c r="A46" s="31" t="inlineStr">
        <is>
          <t>L3_L2</t>
        </is>
      </c>
      <c r="B46" s="31" t="inlineStr">
        <is>
          <t>L3</t>
        </is>
      </c>
      <c r="C46" s="31" t="inlineStr">
        <is>
          <t>L2</t>
        </is>
      </c>
      <c r="D46" s="31" t="n">
        <v>2</v>
      </c>
      <c r="E46" s="31" t="n">
        <v>60</v>
      </c>
      <c r="F46" s="31" t="n">
        <v>400</v>
      </c>
      <c r="G46" s="31" t="n"/>
      <c r="H46" s="31" t="n"/>
      <c r="I46" s="31" t="n"/>
      <c r="J46" s="31" t="n"/>
    </row>
    <row r="47" ht="24" customHeight="1">
      <c r="A47" s="31" t="inlineStr">
        <is>
          <t>LR_L2</t>
        </is>
      </c>
      <c r="B47" s="31" t="inlineStr">
        <is>
          <t>LR</t>
        </is>
      </c>
      <c r="C47" s="31" t="inlineStr">
        <is>
          <t>L2</t>
        </is>
      </c>
      <c r="D47" s="31" t="n">
        <v>2</v>
      </c>
      <c r="E47" s="31" t="n">
        <v>60</v>
      </c>
      <c r="F47" s="31" t="n">
        <v>250</v>
      </c>
      <c r="G47" s="31" t="n"/>
      <c r="H47" s="31" t="n"/>
      <c r="I47" s="31" t="n"/>
      <c r="J47" s="31" t="n"/>
    </row>
    <row r="48" ht="24" customHeight="1">
      <c r="A48" s="31" t="inlineStr">
        <is>
          <t>N1_U1</t>
        </is>
      </c>
      <c r="B48" s="31" t="inlineStr">
        <is>
          <t>N1</t>
        </is>
      </c>
      <c r="C48" s="31" t="inlineStr">
        <is>
          <t>U1</t>
        </is>
      </c>
      <c r="D48" s="31" t="n">
        <v>1</v>
      </c>
      <c r="E48" s="31" t="n">
        <v>40</v>
      </c>
      <c r="F48" s="31" t="n">
        <v>600</v>
      </c>
      <c r="G48" s="31" t="n"/>
      <c r="H48" s="31" t="n"/>
      <c r="I48" s="31" t="n"/>
      <c r="J48" s="31" t="n"/>
    </row>
    <row r="49" ht="24" customHeight="1">
      <c r="A49" s="31" t="inlineStr">
        <is>
          <t>N2_U2</t>
        </is>
      </c>
      <c r="B49" s="31" t="inlineStr">
        <is>
          <t>N2</t>
        </is>
      </c>
      <c r="C49" s="31" t="inlineStr">
        <is>
          <t>U2</t>
        </is>
      </c>
      <c r="D49" s="31" t="n">
        <v>1</v>
      </c>
      <c r="E49" s="31" t="n">
        <v>40</v>
      </c>
      <c r="F49" s="31" t="n">
        <v>600</v>
      </c>
      <c r="G49" s="31" t="n"/>
      <c r="H49" s="31" t="n"/>
      <c r="I49" s="31" t="n"/>
      <c r="J49" s="31" t="n"/>
    </row>
    <row r="50" ht="24" customHeight="1">
      <c r="A50" s="31" t="inlineStr">
        <is>
          <t>S1_L1</t>
        </is>
      </c>
      <c r="B50" s="31" t="inlineStr">
        <is>
          <t>S1</t>
        </is>
      </c>
      <c r="C50" s="31" t="inlineStr">
        <is>
          <t>L1</t>
        </is>
      </c>
      <c r="D50" s="31" t="n">
        <v>1</v>
      </c>
      <c r="E50" s="31" t="n">
        <v>40</v>
      </c>
      <c r="F50" s="31" t="n">
        <v>600</v>
      </c>
      <c r="G50" s="31" t="n"/>
      <c r="H50" s="31" t="n"/>
      <c r="I50" s="31" t="n"/>
      <c r="J50" s="31" t="n"/>
    </row>
    <row r="51" ht="24" customHeight="1">
      <c r="A51" s="31" t="inlineStr">
        <is>
          <t>S2_L2</t>
        </is>
      </c>
      <c r="B51" s="31" t="inlineStr">
        <is>
          <t>S2</t>
        </is>
      </c>
      <c r="C51" s="31" t="inlineStr">
        <is>
          <t>L2</t>
        </is>
      </c>
      <c r="D51" s="31" t="n">
        <v>1</v>
      </c>
      <c r="E51" s="31" t="n">
        <v>40</v>
      </c>
      <c r="F51" s="31" t="n">
        <v>600</v>
      </c>
      <c r="G51" s="31" t="n"/>
      <c r="H51" s="31" t="n"/>
      <c r="I51" s="31" t="n"/>
      <c r="J51" s="31" t="n"/>
    </row>
    <row r="52" ht="24" customHeight="1">
      <c r="A52" s="31" t="inlineStr">
        <is>
          <t>U0_C0</t>
        </is>
      </c>
      <c r="B52" s="31" t="inlineStr">
        <is>
          <t>U0</t>
        </is>
      </c>
      <c r="C52" s="31" t="inlineStr">
        <is>
          <t>C0</t>
        </is>
      </c>
      <c r="D52" s="31" t="n">
        <v>1</v>
      </c>
      <c r="E52" s="31" t="n">
        <v>40</v>
      </c>
      <c r="F52" s="31" t="n">
        <v>300</v>
      </c>
      <c r="G52" s="31" t="n"/>
      <c r="H52" s="31" t="n"/>
      <c r="I52" s="31" t="n"/>
      <c r="J52" s="31" t="n"/>
    </row>
    <row r="53" ht="24" customHeight="1">
      <c r="A53" s="31" t="inlineStr">
        <is>
          <t>U0_U1</t>
        </is>
      </c>
      <c r="B53" s="31" t="inlineStr">
        <is>
          <t>U0</t>
        </is>
      </c>
      <c r="C53" s="31" t="inlineStr">
        <is>
          <t>U1</t>
        </is>
      </c>
      <c r="D53" s="31" t="n">
        <v>1</v>
      </c>
      <c r="E53" s="31" t="n">
        <v>40</v>
      </c>
      <c r="F53" s="31" t="n">
        <v>400</v>
      </c>
      <c r="G53" s="31" t="n"/>
      <c r="H53" s="31" t="n"/>
      <c r="I53" s="31" t="n"/>
      <c r="J53" s="31" t="n"/>
    </row>
    <row r="54" ht="24" customHeight="1">
      <c r="A54" s="31" t="inlineStr">
        <is>
          <t>U1_C1</t>
        </is>
      </c>
      <c r="B54" s="31" t="inlineStr">
        <is>
          <t>U1</t>
        </is>
      </c>
      <c r="C54" s="31" t="inlineStr">
        <is>
          <t>C1</t>
        </is>
      </c>
      <c r="D54" s="31" t="n">
        <v>1</v>
      </c>
      <c r="E54" s="31" t="n">
        <v>40</v>
      </c>
      <c r="F54" s="31" t="n">
        <v>300</v>
      </c>
      <c r="G54" s="31" t="n"/>
      <c r="H54" s="31" t="n"/>
      <c r="I54" s="31" t="n"/>
      <c r="J54" s="31" t="n"/>
    </row>
    <row r="55" ht="24" customHeight="1">
      <c r="A55" s="31" t="inlineStr">
        <is>
          <t>U1_N1</t>
        </is>
      </c>
      <c r="B55" s="31" t="inlineStr">
        <is>
          <t>U1</t>
        </is>
      </c>
      <c r="C55" s="31" t="inlineStr">
        <is>
          <t>N1</t>
        </is>
      </c>
      <c r="D55" s="31" t="n">
        <v>1</v>
      </c>
      <c r="E55" s="31" t="n">
        <v>40</v>
      </c>
      <c r="F55" s="31" t="n">
        <v>600</v>
      </c>
      <c r="G55" s="31" t="n"/>
      <c r="H55" s="31" t="n"/>
      <c r="I55" s="31" t="n"/>
      <c r="J55" s="31" t="n"/>
    </row>
    <row r="56" ht="24" customHeight="1">
      <c r="A56" s="31" t="inlineStr">
        <is>
          <t>U1_U0</t>
        </is>
      </c>
      <c r="B56" s="31" t="inlineStr">
        <is>
          <t>U1</t>
        </is>
      </c>
      <c r="C56" s="31" t="inlineStr">
        <is>
          <t>U0</t>
        </is>
      </c>
      <c r="D56" s="31" t="n">
        <v>1</v>
      </c>
      <c r="E56" s="31" t="n">
        <v>40</v>
      </c>
      <c r="F56" s="31" t="n">
        <v>400</v>
      </c>
      <c r="G56" s="31" t="n"/>
      <c r="H56" s="31" t="n"/>
      <c r="I56" s="31" t="n"/>
      <c r="J56" s="31" t="n"/>
    </row>
    <row r="57" ht="24" customHeight="1">
      <c r="A57" s="31" t="inlineStr">
        <is>
          <t>U1_UR</t>
        </is>
      </c>
      <c r="B57" s="31" t="inlineStr">
        <is>
          <t>U1</t>
        </is>
      </c>
      <c r="C57" s="31" t="inlineStr">
        <is>
          <t>UR</t>
        </is>
      </c>
      <c r="D57" s="31" t="n">
        <v>1</v>
      </c>
      <c r="E57" s="31" t="n">
        <v>40</v>
      </c>
      <c r="F57" s="31" t="n">
        <v>150</v>
      </c>
      <c r="G57" s="31" t="n"/>
      <c r="H57" s="31" t="n"/>
      <c r="I57" s="31" t="n"/>
      <c r="J57" s="31" t="n"/>
    </row>
    <row r="58" ht="24" customHeight="1">
      <c r="A58" s="31" t="inlineStr">
        <is>
          <t>U2_C2</t>
        </is>
      </c>
      <c r="B58" s="31" t="inlineStr">
        <is>
          <t>U2</t>
        </is>
      </c>
      <c r="C58" s="31" t="inlineStr">
        <is>
          <t>C2</t>
        </is>
      </c>
      <c r="D58" s="31" t="n">
        <v>1</v>
      </c>
      <c r="E58" s="31" t="n">
        <v>40</v>
      </c>
      <c r="F58" s="31" t="n">
        <v>300</v>
      </c>
      <c r="G58" s="31" t="n"/>
      <c r="H58" s="31" t="n"/>
      <c r="I58" s="31" t="n"/>
      <c r="J58" s="31" t="n"/>
    </row>
    <row r="59" ht="24" customHeight="1">
      <c r="A59" s="31" t="inlineStr">
        <is>
          <t>U2_N2</t>
        </is>
      </c>
      <c r="B59" s="31" t="inlineStr">
        <is>
          <t>U2</t>
        </is>
      </c>
      <c r="C59" s="31" t="inlineStr">
        <is>
          <t>N2</t>
        </is>
      </c>
      <c r="D59" s="31" t="n">
        <v>1</v>
      </c>
      <c r="E59" s="31" t="n">
        <v>40</v>
      </c>
      <c r="F59" s="31" t="n">
        <v>600</v>
      </c>
      <c r="G59" s="31" t="n"/>
      <c r="H59" s="31" t="n"/>
      <c r="I59" s="31" t="n"/>
      <c r="J59" s="31" t="n"/>
    </row>
    <row r="60" ht="24" customHeight="1">
      <c r="A60" s="31" t="inlineStr">
        <is>
          <t>U2_U1</t>
        </is>
      </c>
      <c r="B60" s="31" t="inlineStr">
        <is>
          <t>U2</t>
        </is>
      </c>
      <c r="C60" s="31" t="inlineStr">
        <is>
          <t>U1</t>
        </is>
      </c>
      <c r="D60" s="31" t="n">
        <v>1</v>
      </c>
      <c r="E60" s="31" t="n">
        <v>40</v>
      </c>
      <c r="F60" s="31" t="n">
        <v>400</v>
      </c>
      <c r="G60" s="31" t="n"/>
      <c r="H60" s="31" t="n"/>
      <c r="I60" s="31" t="n"/>
      <c r="J60" s="31" t="n"/>
    </row>
    <row r="61" ht="24" customHeight="1">
      <c r="A61" s="31" t="inlineStr">
        <is>
          <t>U2_U3</t>
        </is>
      </c>
      <c r="B61" s="31" t="inlineStr">
        <is>
          <t>U2</t>
        </is>
      </c>
      <c r="C61" s="31" t="inlineStr">
        <is>
          <t>U3</t>
        </is>
      </c>
      <c r="D61" s="31" t="n">
        <v>1</v>
      </c>
      <c r="E61" s="31" t="n">
        <v>40</v>
      </c>
      <c r="F61" s="31" t="n">
        <v>400</v>
      </c>
      <c r="G61" s="31" t="n"/>
      <c r="H61" s="31" t="n"/>
      <c r="I61" s="31" t="n"/>
      <c r="J61" s="31" t="n"/>
    </row>
    <row r="62" ht="24" customHeight="1">
      <c r="A62" s="31" t="inlineStr">
        <is>
          <t>U3_C3</t>
        </is>
      </c>
      <c r="B62" s="31" t="inlineStr">
        <is>
          <t>U3</t>
        </is>
      </c>
      <c r="C62" s="31" t="inlineStr">
        <is>
          <t>C3</t>
        </is>
      </c>
      <c r="D62" s="31" t="n">
        <v>1</v>
      </c>
      <c r="E62" s="31" t="n">
        <v>40</v>
      </c>
      <c r="F62" s="31" t="n">
        <v>300</v>
      </c>
      <c r="G62" s="31" t="n"/>
      <c r="H62" s="31" t="n"/>
      <c r="I62" s="31" t="n"/>
      <c r="J62" s="31" t="n"/>
    </row>
    <row r="63" ht="24" customHeight="1">
      <c r="A63" s="31" t="inlineStr">
        <is>
          <t>U3_U2</t>
        </is>
      </c>
      <c r="B63" s="31" t="inlineStr">
        <is>
          <t>U3</t>
        </is>
      </c>
      <c r="C63" s="31" t="inlineStr">
        <is>
          <t>U2</t>
        </is>
      </c>
      <c r="D63" s="31" t="n">
        <v>1</v>
      </c>
      <c r="E63" s="31" t="n">
        <v>40</v>
      </c>
      <c r="F63" s="31" t="n">
        <v>400</v>
      </c>
      <c r="G63" s="31" t="n"/>
      <c r="H63" s="31" t="n"/>
      <c r="I63" s="31" t="n"/>
      <c r="J63" s="31" t="n"/>
    </row>
    <row r="64" ht="24" customHeight="1">
      <c r="A64" s="31" t="inlineStr">
        <is>
          <t>UR_U2</t>
        </is>
      </c>
      <c r="B64" s="31" t="inlineStr">
        <is>
          <t>UR</t>
        </is>
      </c>
      <c r="C64" s="31" t="inlineStr">
        <is>
          <t>U2</t>
        </is>
      </c>
      <c r="D64" s="31" t="n">
        <v>1</v>
      </c>
      <c r="E64" s="31" t="n">
        <v>40</v>
      </c>
      <c r="F64" s="31" t="n">
        <v>250</v>
      </c>
      <c r="G64" s="31" t="n"/>
      <c r="H64" s="31" t="n"/>
      <c r="I64" s="31" t="n"/>
      <c r="J64" s="31" t="n"/>
    </row>
    <row r="65" ht="24" customHeight="1">
      <c r="A65" s="31" t="inlineStr">
        <is>
          <t>sink</t>
        </is>
      </c>
      <c r="B65" s="31" t="inlineStr">
        <is>
          <t>C3</t>
        </is>
      </c>
      <c r="C65" s="31" t="inlineStr">
        <is>
          <t>D</t>
        </is>
      </c>
      <c r="D65" s="31" t="n">
        <v>3</v>
      </c>
      <c r="E65" s="31" t="n">
        <v>50</v>
      </c>
      <c r="F65" s="31" t="n">
        <v>450</v>
      </c>
      <c r="G65" s="31" t="n"/>
      <c r="H65" s="31" t="n"/>
      <c r="I65" s="31" t="n"/>
      <c r="J65" s="31" t="n"/>
    </row>
    <row r="66" ht="24" customHeight="1">
      <c r="A66" s="31" t="inlineStr">
        <is>
          <t>source</t>
        </is>
      </c>
      <c r="B66" s="31" t="inlineStr">
        <is>
          <t>O</t>
        </is>
      </c>
      <c r="C66" s="31" t="inlineStr">
        <is>
          <t>C0</t>
        </is>
      </c>
      <c r="D66" s="31" t="n">
        <v>3</v>
      </c>
      <c r="E66" s="31" t="n">
        <v>50</v>
      </c>
      <c r="F66" s="31" t="n">
        <v>1500</v>
      </c>
      <c r="G66" s="31" t="n"/>
      <c r="H66" s="31" t="n"/>
      <c r="I66" s="31" t="n"/>
      <c r="J66" s="31" t="n"/>
    </row>
    <row r="67" ht="24" customHeight="1">
      <c r="A67" s="31" t="n"/>
      <c r="B67" s="31" t="n"/>
      <c r="C67" s="31" t="n"/>
      <c r="D67" s="31" t="n"/>
      <c r="E67" s="31" t="n"/>
      <c r="F67" s="31" t="n"/>
      <c r="G67" s="31" t="n"/>
      <c r="H67" s="31" t="n"/>
      <c r="I67" s="31" t="n"/>
      <c r="J67" s="31" t="n"/>
    </row>
    <row r="68" ht="24" customHeight="1">
      <c r="A68" s="31" t="n"/>
      <c r="B68" s="31" t="n"/>
      <c r="C68" s="31" t="n"/>
      <c r="D68" s="31" t="n"/>
      <c r="E68" s="31" t="n"/>
      <c r="F68" s="31" t="n"/>
      <c r="G68" s="31" t="n"/>
      <c r="H68" s="31" t="n"/>
      <c r="I68" s="31" t="n"/>
      <c r="J68" s="31" t="n"/>
    </row>
    <row r="69" ht="24" customHeight="1">
      <c r="A69" s="31" t="n"/>
      <c r="B69" s="31" t="n"/>
      <c r="C69" s="31" t="n"/>
      <c r="D69" s="31" t="n"/>
      <c r="E69" s="31" t="n"/>
      <c r="F69" s="31" t="n"/>
      <c r="G69" s="31" t="n"/>
      <c r="H69" s="31" t="n"/>
      <c r="I69" s="31" t="n"/>
      <c r="J69" s="31" t="n"/>
    </row>
    <row r="70" ht="38" customHeight="1">
      <c r="A70" s="7" t="inlineStr">
        <is>
          <t>Route</t>
        </is>
      </c>
      <c r="B70" s="7" t="inlineStr">
        <is>
          <t>Primary?</t>
        </is>
      </c>
      <c r="C70" s="7" t="inlineStr">
        <is>
          <t>Length incl. connectors (m)</t>
        </is>
      </c>
      <c r="D70" s="7" t="inlineStr">
        <is>
          <t>External edge sequence</t>
        </is>
      </c>
      <c r="E70" s="31" t="n"/>
      <c r="F70" s="31" t="n"/>
      <c r="G70" s="31" t="n"/>
      <c r="H70" s="31" t="n"/>
      <c r="I70" s="31" t="n"/>
      <c r="J70" s="31" t="n"/>
    </row>
    <row r="71" ht="24" customHeight="1">
      <c r="A71" s="31" t="inlineStr">
        <is>
          <t>NS1</t>
        </is>
      </c>
      <c r="B71" s="31" t="inlineStr">
        <is>
          <t>NO</t>
        </is>
      </c>
      <c r="C71" s="31" t="n">
        <v>1849.6</v>
      </c>
      <c r="D71" s="31" t="inlineStr">
        <is>
          <t>N1_U1 U1_C1 C1_L1 L1_S1</t>
        </is>
      </c>
      <c r="E71" s="31" t="n"/>
      <c r="F71" s="31" t="n"/>
      <c r="G71" s="31" t="n"/>
      <c r="H71" s="31" t="n"/>
      <c r="I71" s="31" t="n"/>
      <c r="J71" s="31" t="n"/>
    </row>
    <row r="72" ht="24" customHeight="1">
      <c r="A72" s="31" t="inlineStr">
        <is>
          <t>NS2</t>
        </is>
      </c>
      <c r="B72" s="31" t="inlineStr">
        <is>
          <t>NO</t>
        </is>
      </c>
      <c r="C72" s="31" t="n">
        <v>1849.6</v>
      </c>
      <c r="D72" s="31" t="inlineStr">
        <is>
          <t>N2_U2 U2_C2 C2_L2 L2_S2</t>
        </is>
      </c>
      <c r="E72" s="31" t="n"/>
      <c r="F72" s="31" t="n"/>
      <c r="G72" s="31" t="n"/>
      <c r="H72" s="31" t="n"/>
      <c r="I72" s="31" t="n"/>
      <c r="J72" s="31" t="n"/>
    </row>
    <row r="73" ht="24" customHeight="1">
      <c r="A73" s="31" t="inlineStr">
        <is>
          <t>P01</t>
        </is>
      </c>
      <c r="B73" s="31" t="inlineStr">
        <is>
          <t>YES</t>
        </is>
      </c>
      <c r="C73" s="31" t="n">
        <v>3208.82</v>
      </c>
      <c r="D73" s="31" t="inlineStr">
        <is>
          <t>source C0_C1 C1_CR CR_C2 C2_C3 sink</t>
        </is>
      </c>
      <c r="E73" s="31" t="n"/>
      <c r="F73" s="31" t="n"/>
      <c r="G73" s="31" t="n"/>
      <c r="H73" s="31" t="n"/>
      <c r="I73" s="31" t="n"/>
      <c r="J73" s="31" t="n"/>
    </row>
    <row r="74" ht="24" customHeight="1">
      <c r="A74" s="31" t="inlineStr">
        <is>
          <t>P02</t>
        </is>
      </c>
      <c r="B74" s="31" t="inlineStr">
        <is>
          <t>YES</t>
        </is>
      </c>
      <c r="C74" s="31" t="n">
        <v>3833.87</v>
      </c>
      <c r="D74" s="31" t="inlineStr">
        <is>
          <t>source C0_C1 C1_CR CR_C2 C2_L2 L2_L3 L3_C3 sink</t>
        </is>
      </c>
      <c r="E74" s="31" t="n"/>
      <c r="F74" s="31" t="n"/>
      <c r="G74" s="31" t="n"/>
      <c r="H74" s="31" t="n"/>
      <c r="I74" s="31" t="n"/>
      <c r="J74" s="31" t="n"/>
    </row>
    <row r="75" ht="24" customHeight="1">
      <c r="A75" s="31" t="inlineStr">
        <is>
          <t>P03</t>
        </is>
      </c>
      <c r="B75" s="31" t="inlineStr">
        <is>
          <t>YES</t>
        </is>
      </c>
      <c r="C75" s="31" t="n">
        <v>3819.34</v>
      </c>
      <c r="D75" s="31" t="inlineStr">
        <is>
          <t>source C0_C1 C1_CR CR_C2 C2_U2 U2_U3 U3_C3 sink</t>
        </is>
      </c>
      <c r="E75" s="31" t="n"/>
      <c r="F75" s="31" t="n"/>
      <c r="G75" s="31" t="n"/>
      <c r="H75" s="31" t="n"/>
      <c r="I75" s="31" t="n"/>
      <c r="J75" s="31" t="n"/>
    </row>
    <row r="76" ht="24" customHeight="1">
      <c r="A76" s="31" t="inlineStr">
        <is>
          <t>P04</t>
        </is>
      </c>
      <c r="B76" s="31" t="inlineStr">
        <is>
          <t>YES</t>
        </is>
      </c>
      <c r="C76" s="31" t="n">
        <v>3831.78</v>
      </c>
      <c r="D76" s="31" t="inlineStr">
        <is>
          <t>source C0_C1 C1_L1 L1_LR LR_L2 L2_C2 C2_C3 sink</t>
        </is>
      </c>
      <c r="E76" s="31" t="n"/>
      <c r="F76" s="31" t="n"/>
      <c r="G76" s="31" t="n"/>
      <c r="H76" s="31" t="n"/>
      <c r="I76" s="31" t="n"/>
      <c r="J76" s="31" t="n"/>
    </row>
    <row r="77" ht="24" customHeight="1">
      <c r="A77" s="31" t="inlineStr">
        <is>
          <t>P05</t>
        </is>
      </c>
      <c r="B77" s="31" t="inlineStr">
        <is>
          <t>YES</t>
        </is>
      </c>
      <c r="C77" s="31" t="n">
        <v>4447.87</v>
      </c>
      <c r="D77" s="31" t="inlineStr">
        <is>
          <t>source C0_C1 C1_L1 L1_LR LR_L2 L2_C2 C2_U2 U2_U3 U3_C3 sink</t>
        </is>
      </c>
      <c r="E77" s="31" t="n"/>
      <c r="F77" s="31" t="n"/>
      <c r="G77" s="31" t="n"/>
      <c r="H77" s="31" t="n"/>
      <c r="I77" s="31" t="n"/>
      <c r="J77" s="31" t="n"/>
    </row>
    <row r="78" ht="24" customHeight="1">
      <c r="A78" s="31" t="inlineStr">
        <is>
          <t>P06</t>
        </is>
      </c>
      <c r="B78" s="31" t="inlineStr">
        <is>
          <t>YES</t>
        </is>
      </c>
      <c r="C78" s="31" t="n">
        <v>3833.87</v>
      </c>
      <c r="D78" s="31" t="inlineStr">
        <is>
          <t>source C0_C1 C1_L1 L1_LR LR_L2 L2_L3 L3_C3 sink</t>
        </is>
      </c>
      <c r="E78" s="31" t="n"/>
      <c r="F78" s="31" t="n"/>
      <c r="G78" s="31" t="n"/>
      <c r="H78" s="31" t="n"/>
      <c r="I78" s="31" t="n"/>
      <c r="J78" s="31" t="n"/>
    </row>
    <row r="79" ht="24" customHeight="1">
      <c r="A79" s="31" t="inlineStr">
        <is>
          <t>P07</t>
        </is>
      </c>
      <c r="B79" s="31" t="inlineStr">
        <is>
          <t>YES</t>
        </is>
      </c>
      <c r="C79" s="31" t="n">
        <v>3826.48</v>
      </c>
      <c r="D79" s="31" t="inlineStr">
        <is>
          <t>source C0_C1 C1_U1 U1_UR UR_U2 U2_C2 C2_C3 sink</t>
        </is>
      </c>
      <c r="E79" s="31" t="n"/>
      <c r="F79" s="31" t="n"/>
      <c r="G79" s="31" t="n"/>
      <c r="H79" s="31" t="n"/>
      <c r="I79" s="31" t="n"/>
      <c r="J79" s="31" t="n"/>
    </row>
    <row r="80" ht="24" customHeight="1">
      <c r="A80" s="31" t="inlineStr">
        <is>
          <t>P08</t>
        </is>
      </c>
      <c r="B80" s="31" t="inlineStr">
        <is>
          <t>YES</t>
        </is>
      </c>
      <c r="C80" s="31" t="n">
        <v>4457.1</v>
      </c>
      <c r="D80" s="31" t="inlineStr">
        <is>
          <t>source C0_C1 C1_U1 U1_UR UR_U2 U2_C2 C2_L2 L2_L3 L3_C3 sink</t>
        </is>
      </c>
      <c r="E80" s="31" t="n"/>
      <c r="F80" s="31" t="n"/>
      <c r="G80" s="31" t="n"/>
      <c r="H80" s="31" t="n"/>
      <c r="I80" s="31" t="n"/>
      <c r="J80" s="31" t="n"/>
    </row>
    <row r="81" ht="24" customHeight="1">
      <c r="A81" s="31" t="inlineStr">
        <is>
          <t>P09</t>
        </is>
      </c>
      <c r="B81" s="31" t="inlineStr">
        <is>
          <t>YES</t>
        </is>
      </c>
      <c r="C81" s="31" t="n">
        <v>3819.34</v>
      </c>
      <c r="D81" s="31" t="inlineStr">
        <is>
          <t>source C0_C1 C1_U1 U1_UR UR_U2 U2_U3 U3_C3 sink</t>
        </is>
      </c>
      <c r="E81" s="31" t="n"/>
      <c r="F81" s="31" t="n"/>
      <c r="G81" s="31" t="n"/>
      <c r="H81" s="31" t="n"/>
      <c r="I81" s="31" t="n"/>
      <c r="J81" s="31" t="n"/>
    </row>
    <row r="82" ht="24" customHeight="1">
      <c r="A82" s="31" t="inlineStr">
        <is>
          <t>P10</t>
        </is>
      </c>
      <c r="B82" s="31" t="inlineStr">
        <is>
          <t>YES</t>
        </is>
      </c>
      <c r="C82" s="31" t="n">
        <v>3834.13</v>
      </c>
      <c r="D82" s="31" t="inlineStr">
        <is>
          <t>source C0_L0 L0_L1 L1_C1 C1_CR CR_C2 C2_C3 sink</t>
        </is>
      </c>
      <c r="E82" s="31" t="n"/>
      <c r="F82" s="31" t="n"/>
      <c r="G82" s="31" t="n"/>
      <c r="H82" s="31" t="n"/>
      <c r="I82" s="31" t="n"/>
      <c r="J82" s="31" t="n"/>
    </row>
    <row r="83" ht="24" customHeight="1">
      <c r="A83" s="31" t="inlineStr">
        <is>
          <t>P11</t>
        </is>
      </c>
      <c r="B83" s="31" t="inlineStr">
        <is>
          <t>YES</t>
        </is>
      </c>
      <c r="C83" s="31" t="n">
        <v>4459.18</v>
      </c>
      <c r="D83" s="31" t="inlineStr">
        <is>
          <t>source C0_L0 L0_L1 L1_C1 C1_CR CR_C2 C2_L2 L2_L3 L3_C3 sink</t>
        </is>
      </c>
      <c r="E83" s="31" t="n"/>
      <c r="F83" s="31" t="n"/>
      <c r="G83" s="31" t="n"/>
      <c r="H83" s="31" t="n"/>
      <c r="I83" s="31" t="n"/>
      <c r="J83" s="31" t="n"/>
    </row>
    <row r="84" ht="24" customHeight="1">
      <c r="A84" s="31" t="inlineStr">
        <is>
          <t>P12</t>
        </is>
      </c>
      <c r="B84" s="31" t="inlineStr">
        <is>
          <t>YES</t>
        </is>
      </c>
      <c r="C84" s="31" t="n">
        <v>4444.65</v>
      </c>
      <c r="D84" s="31" t="inlineStr">
        <is>
          <t>source C0_L0 L0_L1 L1_C1 C1_CR CR_C2 C2_U2 U2_U3 U3_C3 sink</t>
        </is>
      </c>
      <c r="E84" s="31" t="n"/>
      <c r="F84" s="31" t="n"/>
      <c r="G84" s="31" t="n"/>
      <c r="H84" s="31" t="n"/>
      <c r="I84" s="31" t="n"/>
      <c r="J84" s="31" t="n"/>
    </row>
    <row r="85" ht="24" customHeight="1">
      <c r="A85" s="31" t="inlineStr">
        <is>
          <t>P13</t>
        </is>
      </c>
      <c r="B85" s="31" t="inlineStr">
        <is>
          <t>YES</t>
        </is>
      </c>
      <c r="C85" s="31" t="n">
        <v>4457.36</v>
      </c>
      <c r="D85" s="31" t="inlineStr">
        <is>
          <t>source C0_L0 L0_L1 L1_C1 C1_U1 U1_UR UR_U2 U2_C2 C2_C3 sink</t>
        </is>
      </c>
      <c r="E85" s="31" t="n"/>
      <c r="F85" s="31" t="n"/>
      <c r="G85" s="31" t="n"/>
      <c r="H85" s="31" t="n"/>
      <c r="I85" s="31" t="n"/>
      <c r="J85" s="31" t="n"/>
    </row>
    <row r="86" ht="24" customHeight="1">
      <c r="A86" s="31" t="inlineStr">
        <is>
          <t>P14</t>
        </is>
      </c>
      <c r="B86" s="31" t="inlineStr">
        <is>
          <t>YES</t>
        </is>
      </c>
      <c r="C86" s="31" t="n">
        <v>5087.98</v>
      </c>
      <c r="D86" s="31" t="inlineStr">
        <is>
          <t>source C0_L0 L0_L1 L1_C1 C1_U1 U1_UR UR_U2 U2_C2 C2_L2 L2_L3 L3_C3 sink</t>
        </is>
      </c>
      <c r="E86" s="31" t="n"/>
      <c r="F86" s="31" t="n"/>
      <c r="G86" s="31" t="n"/>
      <c r="H86" s="31" t="n"/>
      <c r="I86" s="31" t="n"/>
      <c r="J86" s="31" t="n"/>
    </row>
    <row r="87" ht="24" customHeight="1">
      <c r="A87" s="31" t="inlineStr">
        <is>
          <t>P15</t>
        </is>
      </c>
      <c r="B87" s="31" t="inlineStr">
        <is>
          <t>YES</t>
        </is>
      </c>
      <c r="C87" s="31" t="n">
        <v>4450.22</v>
      </c>
      <c r="D87" s="31" t="inlineStr">
        <is>
          <t>source C0_L0 L0_L1 L1_C1 C1_U1 U1_UR UR_U2 U2_U3 U3_C3 sink</t>
        </is>
      </c>
      <c r="E87" s="31" t="n"/>
      <c r="F87" s="31" t="n"/>
      <c r="G87" s="31" t="n"/>
      <c r="H87" s="31" t="n"/>
      <c r="I87" s="31" t="n"/>
      <c r="J87" s="31" t="n"/>
    </row>
    <row r="88" ht="24" customHeight="1">
      <c r="A88" s="31" t="inlineStr">
        <is>
          <t>P16</t>
        </is>
      </c>
      <c r="B88" s="31" t="inlineStr">
        <is>
          <t>YES</t>
        </is>
      </c>
      <c r="C88" s="31" t="n">
        <v>5273.55</v>
      </c>
      <c r="D88" s="31" t="inlineStr">
        <is>
          <t>source C0_L0 L0_L1 L1_LR LR_L2 L2_C2 C2_C1 C1_U1 U1_UR UR_U2 U2_U3 U3_C3 sink</t>
        </is>
      </c>
      <c r="E88" s="31" t="n"/>
      <c r="F88" s="31" t="n"/>
      <c r="G88" s="31" t="n"/>
      <c r="H88" s="31" t="n"/>
      <c r="I88" s="31" t="n"/>
      <c r="J88" s="31" t="n"/>
    </row>
    <row r="89" ht="24" customHeight="1">
      <c r="A89" s="31" t="inlineStr">
        <is>
          <t>P17</t>
        </is>
      </c>
      <c r="B89" s="31" t="inlineStr">
        <is>
          <t>YES</t>
        </is>
      </c>
      <c r="C89" s="31" t="n">
        <v>3834.13</v>
      </c>
      <c r="D89" s="31" t="inlineStr">
        <is>
          <t>source C0_L0 L0_L1 L1_LR LR_L2 L2_C2 C2_C3 sink</t>
        </is>
      </c>
      <c r="E89" s="31" t="n"/>
      <c r="F89" s="31" t="n"/>
      <c r="G89" s="31" t="n"/>
      <c r="H89" s="31" t="n"/>
      <c r="I89" s="31" t="n"/>
      <c r="J89" s="31" t="n"/>
    </row>
    <row r="90" ht="24" customHeight="1">
      <c r="A90" s="31" t="inlineStr">
        <is>
          <t>P18</t>
        </is>
      </c>
      <c r="B90" s="31" t="inlineStr">
        <is>
          <t>YES</t>
        </is>
      </c>
      <c r="C90" s="31" t="n">
        <v>4450.22</v>
      </c>
      <c r="D90" s="31" t="inlineStr">
        <is>
          <t>source C0_L0 L0_L1 L1_LR LR_L2 L2_C2 C2_U2 U2_U3 U3_C3 sink</t>
        </is>
      </c>
      <c r="E90" s="31" t="n"/>
      <c r="F90" s="31" t="n"/>
      <c r="G90" s="31" t="n"/>
      <c r="H90" s="31" t="n"/>
      <c r="I90" s="31" t="n"/>
      <c r="J90" s="31" t="n"/>
    </row>
    <row r="91" ht="24" customHeight="1">
      <c r="A91" s="31" t="inlineStr">
        <is>
          <t>P19</t>
        </is>
      </c>
      <c r="B91" s="31" t="inlineStr">
        <is>
          <t>YES</t>
        </is>
      </c>
      <c r="C91" s="31" t="n">
        <v>3836.22</v>
      </c>
      <c r="D91" s="31" t="inlineStr">
        <is>
          <t>source C0_L0 L0_L1 L1_LR LR_L2 L2_L3 L3_C3 sink</t>
        </is>
      </c>
      <c r="E91" s="31" t="n"/>
      <c r="F91" s="31" t="n"/>
      <c r="G91" s="31" t="n"/>
      <c r="H91" s="31" t="n"/>
      <c r="I91" s="31" t="n"/>
      <c r="J91" s="31" t="n"/>
    </row>
    <row r="92" ht="24" customHeight="1">
      <c r="A92" s="31" t="inlineStr">
        <is>
          <t>P20</t>
        </is>
      </c>
      <c r="B92" s="31" t="inlineStr">
        <is>
          <t>YES</t>
        </is>
      </c>
      <c r="C92" s="31" t="n">
        <v>3819.59</v>
      </c>
      <c r="D92" s="31" t="inlineStr">
        <is>
          <t>source C0_U0 U0_U1 U1_C1 C1_CR CR_C2 C2_C3 sink</t>
        </is>
      </c>
      <c r="E92" s="31" t="n"/>
      <c r="F92" s="31" t="n"/>
      <c r="G92" s="31" t="n"/>
      <c r="H92" s="31" t="n"/>
      <c r="I92" s="31" t="n"/>
      <c r="J92" s="31" t="n"/>
    </row>
    <row r="93" ht="24" customHeight="1">
      <c r="A93" s="31" t="inlineStr">
        <is>
          <t>P21</t>
        </is>
      </c>
      <c r="B93" s="31" t="inlineStr">
        <is>
          <t>YES</t>
        </is>
      </c>
      <c r="C93" s="31" t="n">
        <v>4444.64</v>
      </c>
      <c r="D93" s="31" t="inlineStr">
        <is>
          <t>source C0_U0 U0_U1 U1_C1 C1_CR CR_C2 C2_L2 L2_L3 L3_C3 sink</t>
        </is>
      </c>
      <c r="E93" s="31" t="n"/>
      <c r="F93" s="31" t="n"/>
      <c r="G93" s="31" t="n"/>
      <c r="H93" s="31" t="n"/>
      <c r="I93" s="31" t="n"/>
      <c r="J93" s="31" t="n"/>
    </row>
    <row r="94" ht="24" customHeight="1">
      <c r="A94" s="31" t="inlineStr">
        <is>
          <t>P22</t>
        </is>
      </c>
      <c r="B94" s="31" t="inlineStr">
        <is>
          <t>YES</t>
        </is>
      </c>
      <c r="C94" s="31" t="n">
        <v>4430.11</v>
      </c>
      <c r="D94" s="31" t="inlineStr">
        <is>
          <t>source C0_U0 U0_U1 U1_C1 C1_CR CR_C2 C2_U2 U2_U3 U3_C3 sink</t>
        </is>
      </c>
      <c r="E94" s="31" t="n"/>
      <c r="F94" s="31" t="n"/>
      <c r="G94" s="31" t="n"/>
      <c r="H94" s="31" t="n"/>
      <c r="I94" s="31" t="n"/>
      <c r="J94" s="31" t="n"/>
    </row>
    <row r="95" ht="24" customHeight="1">
      <c r="A95" s="31" t="inlineStr">
        <is>
          <t>P23</t>
        </is>
      </c>
      <c r="B95" s="31" t="inlineStr">
        <is>
          <t>YES</t>
        </is>
      </c>
      <c r="C95" s="31" t="n">
        <v>4448.12</v>
      </c>
      <c r="D95" s="31" t="inlineStr">
        <is>
          <t>source C0_U0 U0_U1 U1_C1 C1_L1 L1_LR LR_L2 L2_C2 C2_C3 sink</t>
        </is>
      </c>
      <c r="E95" s="31" t="n"/>
      <c r="F95" s="31" t="n"/>
      <c r="G95" s="31" t="n"/>
      <c r="H95" s="31" t="n"/>
      <c r="I95" s="31" t="n"/>
      <c r="J95" s="31" t="n"/>
    </row>
    <row r="96" ht="24" customHeight="1">
      <c r="A96" s="31" t="inlineStr">
        <is>
          <t>P24</t>
        </is>
      </c>
      <c r="B96" s="31" t="inlineStr">
        <is>
          <t>YES</t>
        </is>
      </c>
      <c r="C96" s="31" t="n">
        <v>5064.21</v>
      </c>
      <c r="D96" s="31" t="inlineStr">
        <is>
          <t>source C0_U0 U0_U1 U1_C1 C1_L1 L1_LR LR_L2 L2_C2 C2_U2 U2_U3 U3_C3 sink</t>
        </is>
      </c>
      <c r="E96" s="31" t="n"/>
      <c r="F96" s="31" t="n"/>
      <c r="G96" s="31" t="n"/>
      <c r="H96" s="31" t="n"/>
      <c r="I96" s="31" t="n"/>
      <c r="J96" s="31" t="n"/>
    </row>
    <row r="97" ht="24" customHeight="1">
      <c r="A97" s="31" t="inlineStr">
        <is>
          <t>P25</t>
        </is>
      </c>
      <c r="B97" s="31" t="inlineStr">
        <is>
          <t>YES</t>
        </is>
      </c>
      <c r="C97" s="31" t="n">
        <v>4450.21</v>
      </c>
      <c r="D97" s="31" t="inlineStr">
        <is>
          <t>source C0_U0 U0_U1 U1_C1 C1_L1 L1_LR LR_L2 L2_L3 L3_C3 sink</t>
        </is>
      </c>
      <c r="E97" s="31" t="n"/>
      <c r="F97" s="31" t="n"/>
      <c r="G97" s="31" t="n"/>
      <c r="H97" s="31" t="n"/>
      <c r="I97" s="31" t="n"/>
      <c r="J97" s="31" t="n"/>
    </row>
    <row r="98" ht="24" customHeight="1">
      <c r="A98" s="31" t="inlineStr">
        <is>
          <t>P26</t>
        </is>
      </c>
      <c r="B98" s="31" t="inlineStr">
        <is>
          <t>YES</t>
        </is>
      </c>
      <c r="C98" s="31" t="n">
        <v>5273.54</v>
      </c>
      <c r="D98" s="31" t="inlineStr">
        <is>
          <t>source C0_U0 U0_U1 U1_UR UR_U2 U2_C2 C2_C1 C1_L1 L1_LR LR_L2 L2_L3 L3_C3 sink</t>
        </is>
      </c>
      <c r="E98" s="31" t="n"/>
      <c r="F98" s="31" t="n"/>
      <c r="G98" s="31" t="n"/>
      <c r="H98" s="31" t="n"/>
      <c r="I98" s="31" t="n"/>
      <c r="J98" s="31" t="n"/>
    </row>
    <row r="99" ht="24" customHeight="1">
      <c r="A99" s="31" t="inlineStr">
        <is>
          <t>P27</t>
        </is>
      </c>
      <c r="B99" s="31" t="inlineStr">
        <is>
          <t>YES</t>
        </is>
      </c>
      <c r="C99" s="31" t="n">
        <v>3819.59</v>
      </c>
      <c r="D99" s="31" t="inlineStr">
        <is>
          <t>source C0_U0 U0_U1 U1_UR UR_U2 U2_C2 C2_C3 sink</t>
        </is>
      </c>
      <c r="E99" s="31" t="n"/>
      <c r="F99" s="31" t="n"/>
      <c r="G99" s="31" t="n"/>
      <c r="H99" s="31" t="n"/>
      <c r="I99" s="31" t="n"/>
      <c r="J99" s="31" t="n"/>
    </row>
    <row r="100" ht="24" customHeight="1">
      <c r="A100" s="31" t="inlineStr">
        <is>
          <t>P28</t>
        </is>
      </c>
      <c r="B100" s="31" t="inlineStr">
        <is>
          <t>YES</t>
        </is>
      </c>
      <c r="C100" s="31" t="n">
        <v>4450.21</v>
      </c>
      <c r="D100" s="31" t="inlineStr">
        <is>
          <t>source C0_U0 U0_U1 U1_UR UR_U2 U2_C2 C2_L2 L2_L3 L3_C3 sink</t>
        </is>
      </c>
      <c r="E100" s="31" t="n"/>
      <c r="F100" s="31" t="n"/>
      <c r="G100" s="31" t="n"/>
      <c r="H100" s="31" t="n"/>
      <c r="I100" s="31" t="n"/>
      <c r="J100" s="31" t="n"/>
    </row>
    <row r="101" ht="24" customHeight="1">
      <c r="A101" s="31" t="inlineStr">
        <is>
          <t>P29</t>
        </is>
      </c>
      <c r="B101" s="31" t="inlineStr">
        <is>
          <t>YES</t>
        </is>
      </c>
      <c r="C101" s="31" t="n">
        <v>3812.45</v>
      </c>
      <c r="D101" s="31" t="inlineStr">
        <is>
          <t>source C0_U0 U0_U1 U1_UR UR_U2 U2_U3 U3_C3 sink</t>
        </is>
      </c>
      <c r="E101" s="31" t="n"/>
      <c r="F101" s="31" t="n"/>
      <c r="G101" s="31" t="n"/>
      <c r="H101" s="31" t="n"/>
      <c r="I101" s="31" t="n"/>
      <c r="J101" s="31" t="n"/>
    </row>
    <row r="102" ht="24" customHeight="1">
      <c r="A102" s="31" t="inlineStr">
        <is>
          <t>SN1</t>
        </is>
      </c>
      <c r="B102" s="31" t="inlineStr">
        <is>
          <t>NO</t>
        </is>
      </c>
      <c r="C102" s="31" t="n">
        <v>1849.6</v>
      </c>
      <c r="D102" s="31" t="inlineStr">
        <is>
          <t>S1_L1 L1_C1 C1_U1 U1_N1</t>
        </is>
      </c>
      <c r="E102" s="31" t="n"/>
      <c r="F102" s="31" t="n"/>
      <c r="G102" s="31" t="n"/>
      <c r="H102" s="31" t="n"/>
      <c r="I102" s="31" t="n"/>
      <c r="J102" s="31" t="n"/>
    </row>
    <row r="103" ht="24" customHeight="1">
      <c r="A103" s="31" t="inlineStr">
        <is>
          <t>SN2</t>
        </is>
      </c>
      <c r="B103" s="31" t="inlineStr">
        <is>
          <t>NO</t>
        </is>
      </c>
      <c r="C103" s="31" t="n">
        <v>1849.6</v>
      </c>
      <c r="D103" s="31" t="inlineStr">
        <is>
          <t>S2_L2 L2_C2 C2_U2 U2_N2</t>
        </is>
      </c>
      <c r="E103" s="31" t="n"/>
      <c r="F103" s="31" t="n"/>
      <c r="G103" s="31" t="n"/>
      <c r="H103" s="31" t="n"/>
      <c r="I103" s="31" t="n"/>
      <c r="J103" s="31" t="n"/>
    </row>
    <row r="104" ht="24" customHeight="1">
      <c r="A104" s="31" t="n"/>
      <c r="B104" s="31" t="n"/>
      <c r="C104" s="31" t="n"/>
      <c r="D104" s="31" t="n"/>
      <c r="E104" s="31" t="n"/>
      <c r="F104" s="31" t="n"/>
      <c r="G104" s="31" t="n"/>
      <c r="H104" s="31" t="n"/>
      <c r="I104" s="31" t="n"/>
      <c r="J104" s="31" t="n"/>
    </row>
    <row r="105" ht="24" customHeight="1">
      <c r="A105" s="31" t="n"/>
      <c r="B105" s="31" t="n"/>
      <c r="C105" s="31" t="n"/>
      <c r="D105" s="31" t="n"/>
      <c r="E105" s="31" t="n"/>
      <c r="F105" s="31" t="n"/>
      <c r="G105" s="31" t="n"/>
      <c r="H105" s="31" t="n"/>
      <c r="I105" s="31" t="n"/>
      <c r="J105" s="31" t="n"/>
    </row>
    <row r="106" ht="24" customHeight="1">
      <c r="A106" s="31" t="n"/>
      <c r="B106" s="31" t="n"/>
      <c r="C106" s="31" t="n"/>
      <c r="D106" s="31" t="n"/>
      <c r="E106" s="31" t="n"/>
      <c r="F106" s="31" t="n"/>
      <c r="G106" s="31" t="n"/>
      <c r="H106" s="31" t="n"/>
      <c r="I106" s="31" t="n"/>
      <c r="J106" s="31" t="n"/>
    </row>
    <row r="107" ht="24" customHeight="1">
      <c r="A107" s="31" t="n"/>
      <c r="B107" s="31" t="n"/>
      <c r="C107" s="31" t="n"/>
      <c r="D107" s="31" t="n"/>
      <c r="E107" s="31" t="n"/>
      <c r="F107" s="31" t="n"/>
      <c r="G107" s="31" t="n"/>
      <c r="H107" s="31" t="n"/>
      <c r="I107" s="31" t="n"/>
      <c r="J107" s="31" t="n"/>
    </row>
    <row r="108" ht="24" customHeight="1">
      <c r="A108" s="31" t="n"/>
      <c r="B108" s="31" t="n"/>
      <c r="C108" s="31" t="n"/>
      <c r="D108" s="31" t="n"/>
      <c r="E108" s="31" t="n"/>
      <c r="F108" s="31" t="n"/>
      <c r="G108" s="31" t="n"/>
      <c r="H108" s="31" t="n"/>
      <c r="I108" s="31" t="n"/>
      <c r="J108" s="31" t="n"/>
    </row>
    <row r="109" ht="24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  <c r="J109" s="31" t="n"/>
    </row>
    <row r="110" ht="24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  <c r="J110" s="31" t="n"/>
    </row>
    <row r="111" ht="24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  <c r="J111" s="31" t="n"/>
    </row>
    <row r="112" ht="24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  <c r="J112" s="31" t="n"/>
    </row>
    <row r="113" ht="24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  <c r="J113" s="31" t="n"/>
    </row>
    <row r="114" ht="24" customHeight="1">
      <c r="A114" s="31" t="n"/>
      <c r="B114" s="31" t="n"/>
      <c r="C114" s="31" t="n"/>
      <c r="D114" s="31" t="n"/>
      <c r="E114" s="31" t="n"/>
      <c r="F114" s="31" t="n"/>
      <c r="G114" s="31" t="n"/>
      <c r="H114" s="31" t="n"/>
      <c r="I114" s="31" t="n"/>
      <c r="J114" s="31" t="n"/>
    </row>
    <row r="115" ht="24" customHeight="1">
      <c r="A115" s="31" t="n"/>
      <c r="B115" s="31" t="n"/>
      <c r="C115" s="31" t="n"/>
      <c r="D115" s="31" t="n"/>
      <c r="E115" s="31" t="n"/>
      <c r="F115" s="31" t="n"/>
      <c r="G115" s="31" t="n"/>
      <c r="H115" s="31" t="n"/>
      <c r="I115" s="31" t="n"/>
      <c r="J115" s="31" t="n"/>
    </row>
    <row r="116" ht="24" customHeight="1">
      <c r="A116" s="31" t="n"/>
      <c r="B116" s="31" t="n"/>
      <c r="C116" s="31" t="n"/>
      <c r="D116" s="31" t="n"/>
      <c r="E116" s="31" t="n"/>
      <c r="F116" s="31" t="n"/>
      <c r="G116" s="31" t="n"/>
      <c r="H116" s="31" t="n"/>
      <c r="I116" s="31" t="n"/>
      <c r="J116" s="31" t="n"/>
    </row>
    <row r="117" ht="24" customHeight="1">
      <c r="A117" s="31" t="n"/>
      <c r="B117" s="31" t="n"/>
      <c r="C117" s="31" t="n"/>
      <c r="D117" s="31" t="n"/>
      <c r="E117" s="31" t="n"/>
      <c r="F117" s="31" t="n"/>
      <c r="G117" s="31" t="n"/>
      <c r="H117" s="31" t="n"/>
      <c r="I117" s="31" t="n"/>
      <c r="J117" s="31" t="n"/>
    </row>
    <row r="118" ht="24" customHeight="1">
      <c r="A118" s="31" t="n"/>
      <c r="B118" s="31" t="n"/>
      <c r="C118" s="31" t="n"/>
      <c r="D118" s="31" t="n"/>
      <c r="E118" s="31" t="n"/>
      <c r="F118" s="31" t="n"/>
      <c r="G118" s="31" t="n"/>
      <c r="H118" s="31" t="n"/>
      <c r="I118" s="31" t="n"/>
      <c r="J118" s="31" t="n"/>
    </row>
    <row r="119" ht="24" customHeight="1">
      <c r="A119" s="31" t="n"/>
      <c r="B119" s="31" t="n"/>
      <c r="C119" s="31" t="n"/>
      <c r="D119" s="31" t="n"/>
      <c r="E119" s="31" t="n"/>
      <c r="F119" s="31" t="n"/>
      <c r="G119" s="31" t="n"/>
      <c r="H119" s="31" t="n"/>
      <c r="I119" s="31" t="n"/>
      <c r="J119" s="31" t="n"/>
    </row>
    <row r="120" ht="24" customHeight="1">
      <c r="A120" s="31" t="n"/>
      <c r="B120" s="31" t="n"/>
      <c r="C120" s="31" t="n"/>
      <c r="D120" s="31" t="n"/>
      <c r="E120" s="31" t="n"/>
      <c r="F120" s="31" t="n"/>
      <c r="G120" s="31" t="n"/>
      <c r="H120" s="31" t="n"/>
      <c r="I120" s="31" t="n"/>
      <c r="J120" s="31" t="n"/>
    </row>
    <row r="121" ht="24" customHeight="1">
      <c r="A121" s="31" t="n"/>
      <c r="B121" s="31" t="n"/>
      <c r="C121" s="31" t="n"/>
      <c r="D121" s="31" t="n"/>
      <c r="E121" s="31" t="n"/>
      <c r="F121" s="31" t="n"/>
      <c r="G121" s="31" t="n"/>
      <c r="H121" s="31" t="n"/>
      <c r="I121" s="31" t="n"/>
      <c r="J121" s="31" t="n"/>
    </row>
    <row r="122" ht="24" customHeight="1">
      <c r="A122" s="31" t="n"/>
      <c r="B122" s="31" t="n"/>
      <c r="C122" s="31" t="n"/>
      <c r="D122" s="31" t="n"/>
      <c r="E122" s="31" t="n"/>
      <c r="F122" s="31" t="n"/>
      <c r="G122" s="31" t="n"/>
      <c r="H122" s="31" t="n"/>
      <c r="I122" s="31" t="n"/>
      <c r="J122" s="31" t="n"/>
    </row>
    <row r="123" ht="24" customHeight="1">
      <c r="A123" s="31" t="n"/>
      <c r="B123" s="31" t="n"/>
      <c r="C123" s="31" t="n"/>
      <c r="D123" s="31" t="n"/>
      <c r="E123" s="31" t="n"/>
      <c r="F123" s="31" t="n"/>
      <c r="G123" s="31" t="n"/>
      <c r="H123" s="31" t="n"/>
      <c r="I123" s="31" t="n"/>
      <c r="J123" s="31" t="n"/>
    </row>
    <row r="124" ht="24" customHeight="1">
      <c r="A124" s="31" t="n"/>
      <c r="B124" s="31" t="n"/>
      <c r="C124" s="31" t="n"/>
      <c r="D124" s="31" t="n"/>
      <c r="E124" s="31" t="n"/>
      <c r="F124" s="31" t="n"/>
      <c r="G124" s="31" t="n"/>
      <c r="H124" s="31" t="n"/>
      <c r="I124" s="31" t="n"/>
      <c r="J124" s="31" t="n"/>
    </row>
    <row r="125" ht="24" customHeight="1">
      <c r="A125" s="31" t="n"/>
      <c r="B125" s="31" t="n"/>
      <c r="C125" s="31" t="n"/>
      <c r="D125" s="31" t="n"/>
      <c r="E125" s="31" t="n"/>
      <c r="F125" s="31" t="n"/>
      <c r="G125" s="31" t="n"/>
      <c r="H125" s="31" t="n"/>
      <c r="I125" s="31" t="n"/>
      <c r="J125" s="31" t="n"/>
    </row>
    <row r="126" ht="24" customHeight="1">
      <c r="A126" s="31" t="n"/>
      <c r="B126" s="31" t="n"/>
      <c r="C126" s="31" t="n"/>
      <c r="D126" s="31" t="n"/>
      <c r="E126" s="31" t="n"/>
      <c r="F126" s="31" t="n"/>
      <c r="G126" s="31" t="n"/>
      <c r="H126" s="31" t="n"/>
      <c r="I126" s="31" t="n"/>
      <c r="J126" s="31" t="n"/>
    </row>
    <row r="127" ht="24" customHeight="1">
      <c r="A127" s="31" t="n"/>
      <c r="B127" s="31" t="n"/>
      <c r="C127" s="31" t="n"/>
      <c r="D127" s="31" t="n"/>
      <c r="E127" s="31" t="n"/>
      <c r="F127" s="31" t="n"/>
      <c r="G127" s="31" t="n"/>
      <c r="H127" s="31" t="n"/>
      <c r="I127" s="31" t="n"/>
      <c r="J127" s="31" t="n"/>
    </row>
    <row r="128" ht="24" customHeight="1">
      <c r="A128" s="31" t="n"/>
      <c r="B128" s="31" t="n"/>
      <c r="C128" s="31" t="n"/>
      <c r="D128" s="31" t="n"/>
      <c r="E128" s="31" t="n"/>
      <c r="F128" s="31" t="n"/>
      <c r="G128" s="31" t="n"/>
      <c r="H128" s="31" t="n"/>
      <c r="I128" s="31" t="n"/>
      <c r="J128" s="31" t="n"/>
    </row>
    <row r="129" ht="24" customHeight="1">
      <c r="A129" s="31" t="n"/>
      <c r="B129" s="31" t="n"/>
      <c r="C129" s="31" t="n"/>
      <c r="D129" s="31" t="n"/>
      <c r="E129" s="31" t="n"/>
      <c r="F129" s="31" t="n"/>
      <c r="G129" s="31" t="n"/>
      <c r="H129" s="31" t="n"/>
      <c r="I129" s="31" t="n"/>
      <c r="J129" s="31" t="n"/>
    </row>
    <row r="130" ht="24" customHeight="1">
      <c r="A130" s="31" t="n"/>
      <c r="B130" s="31" t="n"/>
      <c r="C130" s="31" t="n"/>
      <c r="D130" s="31" t="n"/>
      <c r="E130" s="31" t="n"/>
      <c r="F130" s="31" t="n"/>
      <c r="G130" s="31" t="n"/>
      <c r="H130" s="31" t="n"/>
      <c r="I130" s="31" t="n"/>
      <c r="J130" s="31" t="n"/>
    </row>
  </sheetData>
  <pageMargins left="0.7" right="0.7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5"/>
  <sheetViews>
    <sheetView showGridLines="0" workbookViewId="0">
      <pane xSplit="1" ySplit="7" topLeftCell="B8" activePane="bottomRight" state="frozen"/>
      <selection activeCell="A1" sqref="A1"/>
    </sheetView>
  </sheetViews>
  <sheetFormatPr baseColWidth="8" defaultRowHeight="15"/>
  <cols>
    <col width="18" customWidth="1" min="1" max="1"/>
    <col width="24" customWidth="1" min="2" max="2"/>
    <col width="30" customWidth="1" min="3" max="3"/>
    <col width="25" customWidth="1" min="4" max="4"/>
    <col width="19" customWidth="1" min="5" max="5"/>
    <col width="22" customWidth="1" min="6" max="6"/>
    <col width="24" customWidth="1" min="7" max="7"/>
    <col width="20" customWidth="1" min="8" max="8"/>
    <col width="38" customWidth="1" min="9" max="9"/>
    <col width="38" customWidth="1" min="10" max="10"/>
  </cols>
  <sheetData>
    <row r="1" ht="24" customHeight="1">
      <c r="A1" s="31" t="n"/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</row>
    <row r="2" ht="24" customHeight="1">
      <c r="A2" s="3" t="inlineStr">
        <is>
          <t>Development evidence and unreleased main design</t>
        </is>
      </c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</row>
    <row r="3" ht="24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</row>
    <row r="4" ht="24" customHeight="1">
      <c r="A4" s="4" t="inlineStr">
        <is>
          <t>D = completed development; M = preallocated candidate main contexts, outcomes NOT GENERATED.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</row>
    <row r="5" ht="24" customHeight="1">
      <c r="A5" s="31" t="n"/>
      <c r="B5" s="31" t="n"/>
      <c r="C5" s="31" t="n"/>
      <c r="D5" s="31" t="n"/>
      <c r="E5" s="31" t="n"/>
      <c r="F5" s="31" t="n"/>
      <c r="G5" s="31" t="n"/>
      <c r="H5" s="31" t="n"/>
      <c r="I5" s="31" t="n"/>
      <c r="J5" s="31" t="n"/>
    </row>
    <row r="6" ht="24" customHeight="1">
      <c r="A6" s="31" t="n"/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</row>
    <row r="7" ht="38" customHeight="1">
      <c r="A7" s="7" t="inlineStr">
        <is>
          <t>Context</t>
        </is>
      </c>
      <c r="B7" s="7" t="inlineStr">
        <is>
          <t>Primary (veh/h)</t>
        </is>
      </c>
      <c r="C7" s="7" t="inlineStr">
        <is>
          <t>Background / stream (veh/h)</t>
        </is>
      </c>
      <c r="D7" s="7" t="inlineStr">
        <is>
          <t>Restriction location</t>
        </is>
      </c>
      <c r="E7" s="7" t="inlineStr">
        <is>
          <t>Speed ratio</t>
        </is>
      </c>
      <c r="F7" s="7" t="inlineStr">
        <is>
          <t>Signal</t>
        </is>
      </c>
      <c r="G7" s="7" t="inlineStr">
        <is>
          <t>Allocation</t>
        </is>
      </c>
      <c r="H7" s="7" t="inlineStr">
        <is>
          <t>Repetitions</t>
        </is>
      </c>
      <c r="I7" s="7" t="inlineStr">
        <is>
          <t>Outcome status</t>
        </is>
      </c>
      <c r="J7" s="7" t="inlineStr">
        <is>
          <t>Knowledge at selection</t>
        </is>
      </c>
    </row>
    <row r="8" ht="24" customHeight="1">
      <c r="A8" s="31" t="inlineStr">
        <is>
          <t>D001</t>
        </is>
      </c>
      <c r="B8" s="31" t="n">
        <v>720</v>
      </c>
      <c r="C8" s="31" t="n">
        <v>200</v>
      </c>
      <c r="D8" s="31" t="inlineStr">
        <is>
          <t>None</t>
        </is>
      </c>
      <c r="E8" s="31" t="n">
        <v>1</v>
      </c>
      <c r="F8" s="31" t="inlineStr">
        <is>
          <t>Balanced</t>
        </is>
      </c>
      <c r="G8" s="31" t="inlineStr">
        <is>
          <t>DEVELOPMENT</t>
        </is>
      </c>
      <c r="H8" s="31" t="n">
        <v>3</v>
      </c>
      <c r="I8" s="31" t="inlineStr">
        <is>
          <t>COMPLETED</t>
        </is>
      </c>
      <c r="J8" s="31" t="inlineStr">
        <is>
          <t>Scheduled/stipulated inputs</t>
        </is>
      </c>
    </row>
    <row r="9" ht="24" customHeight="1">
      <c r="A9" s="31" t="inlineStr">
        <is>
          <t>D002</t>
        </is>
      </c>
      <c r="B9" s="31" t="n">
        <v>720</v>
      </c>
      <c r="C9" s="31" t="n">
        <v>200</v>
      </c>
      <c r="D9" s="31" t="inlineStr">
        <is>
          <t>None</t>
        </is>
      </c>
      <c r="E9" s="31" t="n">
        <v>1</v>
      </c>
      <c r="F9" s="31" t="inlineStr">
        <is>
          <t>Arterial</t>
        </is>
      </c>
      <c r="G9" s="31" t="inlineStr">
        <is>
          <t>DEVELOPMENT</t>
        </is>
      </c>
      <c r="H9" s="31" t="n">
        <v>3</v>
      </c>
      <c r="I9" s="31" t="inlineStr">
        <is>
          <t>COMPLETED</t>
        </is>
      </c>
      <c r="J9" s="31" t="inlineStr">
        <is>
          <t>Scheduled/stipulated inputs</t>
        </is>
      </c>
    </row>
    <row r="10" ht="24" customHeight="1">
      <c r="A10" s="31" t="inlineStr">
        <is>
          <t>D003</t>
        </is>
      </c>
      <c r="B10" s="31" t="n">
        <v>720</v>
      </c>
      <c r="C10" s="31" t="n">
        <v>200</v>
      </c>
      <c r="D10" s="31" t="inlineStr">
        <is>
          <t>U</t>
        </is>
      </c>
      <c r="E10" s="31" t="n">
        <v>0.35</v>
      </c>
      <c r="F10" s="31" t="inlineStr">
        <is>
          <t>Balanced</t>
        </is>
      </c>
      <c r="G10" s="31" t="inlineStr">
        <is>
          <t>DEVELOPMENT</t>
        </is>
      </c>
      <c r="H10" s="31" t="n">
        <v>3</v>
      </c>
      <c r="I10" s="31" t="inlineStr">
        <is>
          <t>COMPLETED</t>
        </is>
      </c>
      <c r="J10" s="31" t="inlineStr">
        <is>
          <t>Scheduled/stipulated inputs</t>
        </is>
      </c>
    </row>
    <row r="11" ht="24" customHeight="1">
      <c r="A11" s="31" t="inlineStr">
        <is>
          <t>D004</t>
        </is>
      </c>
      <c r="B11" s="31" t="n">
        <v>720</v>
      </c>
      <c r="C11" s="31" t="n">
        <v>200</v>
      </c>
      <c r="D11" s="31" t="inlineStr">
        <is>
          <t>U</t>
        </is>
      </c>
      <c r="E11" s="31" t="n">
        <v>0.35</v>
      </c>
      <c r="F11" s="31" t="inlineStr">
        <is>
          <t>Arterial</t>
        </is>
      </c>
      <c r="G11" s="31" t="inlineStr">
        <is>
          <t>DEVELOPMENT</t>
        </is>
      </c>
      <c r="H11" s="31" t="n">
        <v>3</v>
      </c>
      <c r="I11" s="31" t="inlineStr">
        <is>
          <t>COMPLETED</t>
        </is>
      </c>
      <c r="J11" s="31" t="inlineStr">
        <is>
          <t>Scheduled/stipulated inputs</t>
        </is>
      </c>
    </row>
    <row r="12" ht="24" customHeight="1">
      <c r="A12" s="31" t="inlineStr">
        <is>
          <t>D005</t>
        </is>
      </c>
      <c r="B12" s="31" t="n">
        <v>720</v>
      </c>
      <c r="C12" s="31" t="n">
        <v>200</v>
      </c>
      <c r="D12" s="31" t="inlineStr">
        <is>
          <t>C</t>
        </is>
      </c>
      <c r="E12" s="31" t="n">
        <v>0.35</v>
      </c>
      <c r="F12" s="31" t="inlineStr">
        <is>
          <t>Balanced</t>
        </is>
      </c>
      <c r="G12" s="31" t="inlineStr">
        <is>
          <t>DEVELOPMENT</t>
        </is>
      </c>
      <c r="H12" s="31" t="n">
        <v>3</v>
      </c>
      <c r="I12" s="31" t="inlineStr">
        <is>
          <t>COMPLETED</t>
        </is>
      </c>
      <c r="J12" s="31" t="inlineStr">
        <is>
          <t>Scheduled/stipulated inputs</t>
        </is>
      </c>
    </row>
    <row r="13" ht="24" customHeight="1">
      <c r="A13" s="31" t="inlineStr">
        <is>
          <t>D006</t>
        </is>
      </c>
      <c r="B13" s="31" t="n">
        <v>720</v>
      </c>
      <c r="C13" s="31" t="n">
        <v>200</v>
      </c>
      <c r="D13" s="31" t="inlineStr">
        <is>
          <t>C</t>
        </is>
      </c>
      <c r="E13" s="31" t="n">
        <v>0.35</v>
      </c>
      <c r="F13" s="31" t="inlineStr">
        <is>
          <t>Arterial</t>
        </is>
      </c>
      <c r="G13" s="31" t="inlineStr">
        <is>
          <t>DEVELOPMENT</t>
        </is>
      </c>
      <c r="H13" s="31" t="n">
        <v>3</v>
      </c>
      <c r="I13" s="31" t="inlineStr">
        <is>
          <t>COMPLETED</t>
        </is>
      </c>
      <c r="J13" s="31" t="inlineStr">
        <is>
          <t>Scheduled/stipulated inputs</t>
        </is>
      </c>
    </row>
    <row r="14" ht="24" customHeight="1">
      <c r="A14" s="31" t="inlineStr">
        <is>
          <t>D007</t>
        </is>
      </c>
      <c r="B14" s="31" t="n">
        <v>720</v>
      </c>
      <c r="C14" s="31" t="n">
        <v>200</v>
      </c>
      <c r="D14" s="31" t="inlineStr">
        <is>
          <t>L</t>
        </is>
      </c>
      <c r="E14" s="31" t="n">
        <v>0.35</v>
      </c>
      <c r="F14" s="31" t="inlineStr">
        <is>
          <t>Balanced</t>
        </is>
      </c>
      <c r="G14" s="31" t="inlineStr">
        <is>
          <t>DEVELOPMENT</t>
        </is>
      </c>
      <c r="H14" s="31" t="n">
        <v>3</v>
      </c>
      <c r="I14" s="31" t="inlineStr">
        <is>
          <t>COMPLETED</t>
        </is>
      </c>
      <c r="J14" s="31" t="inlineStr">
        <is>
          <t>Scheduled/stipulated inputs</t>
        </is>
      </c>
    </row>
    <row r="15" ht="24" customHeight="1">
      <c r="A15" s="31" t="inlineStr">
        <is>
          <t>D008</t>
        </is>
      </c>
      <c r="B15" s="31" t="n">
        <v>720</v>
      </c>
      <c r="C15" s="31" t="n">
        <v>200</v>
      </c>
      <c r="D15" s="31" t="inlineStr">
        <is>
          <t>L</t>
        </is>
      </c>
      <c r="E15" s="31" t="n">
        <v>0.35</v>
      </c>
      <c r="F15" s="31" t="inlineStr">
        <is>
          <t>Arterial</t>
        </is>
      </c>
      <c r="G15" s="31" t="inlineStr">
        <is>
          <t>DEVELOPMENT</t>
        </is>
      </c>
      <c r="H15" s="31" t="n">
        <v>3</v>
      </c>
      <c r="I15" s="31" t="inlineStr">
        <is>
          <t>COMPLETED</t>
        </is>
      </c>
      <c r="J15" s="31" t="inlineStr">
        <is>
          <t>Scheduled/stipulated inputs</t>
        </is>
      </c>
    </row>
    <row r="16" ht="24" customHeight="1">
      <c r="A16" s="31" t="inlineStr">
        <is>
          <t>D009</t>
        </is>
      </c>
      <c r="B16" s="31" t="n">
        <v>1200</v>
      </c>
      <c r="C16" s="31" t="n">
        <v>200</v>
      </c>
      <c r="D16" s="31" t="inlineStr">
        <is>
          <t>None</t>
        </is>
      </c>
      <c r="E16" s="31" t="n">
        <v>1</v>
      </c>
      <c r="F16" s="31" t="inlineStr">
        <is>
          <t>Balanced</t>
        </is>
      </c>
      <c r="G16" s="31" t="inlineStr">
        <is>
          <t>DEVELOPMENT</t>
        </is>
      </c>
      <c r="H16" s="31" t="n">
        <v>3</v>
      </c>
      <c r="I16" s="31" t="inlineStr">
        <is>
          <t>COMPLETED</t>
        </is>
      </c>
      <c r="J16" s="31" t="inlineStr">
        <is>
          <t>Scheduled/stipulated inputs</t>
        </is>
      </c>
    </row>
    <row r="17" ht="24" customHeight="1">
      <c r="A17" s="31" t="inlineStr">
        <is>
          <t>D010</t>
        </is>
      </c>
      <c r="B17" s="31" t="n">
        <v>1200</v>
      </c>
      <c r="C17" s="31" t="n">
        <v>200</v>
      </c>
      <c r="D17" s="31" t="inlineStr">
        <is>
          <t>None</t>
        </is>
      </c>
      <c r="E17" s="31" t="n">
        <v>1</v>
      </c>
      <c r="F17" s="31" t="inlineStr">
        <is>
          <t>Arterial</t>
        </is>
      </c>
      <c r="G17" s="31" t="inlineStr">
        <is>
          <t>DEVELOPMENT</t>
        </is>
      </c>
      <c r="H17" s="31" t="n">
        <v>3</v>
      </c>
      <c r="I17" s="31" t="inlineStr">
        <is>
          <t>COMPLETED</t>
        </is>
      </c>
      <c r="J17" s="31" t="inlineStr">
        <is>
          <t>Scheduled/stipulated inputs</t>
        </is>
      </c>
    </row>
    <row r="18" ht="24" customHeight="1">
      <c r="A18" s="31" t="inlineStr">
        <is>
          <t>D011</t>
        </is>
      </c>
      <c r="B18" s="31" t="n">
        <v>1200</v>
      </c>
      <c r="C18" s="31" t="n">
        <v>200</v>
      </c>
      <c r="D18" s="31" t="inlineStr">
        <is>
          <t>U</t>
        </is>
      </c>
      <c r="E18" s="31" t="n">
        <v>0.35</v>
      </c>
      <c r="F18" s="31" t="inlineStr">
        <is>
          <t>Balanced</t>
        </is>
      </c>
      <c r="G18" s="31" t="inlineStr">
        <is>
          <t>DEVELOPMENT</t>
        </is>
      </c>
      <c r="H18" s="31" t="n">
        <v>3</v>
      </c>
      <c r="I18" s="31" t="inlineStr">
        <is>
          <t>COMPLETED</t>
        </is>
      </c>
      <c r="J18" s="31" t="inlineStr">
        <is>
          <t>Scheduled/stipulated inputs</t>
        </is>
      </c>
    </row>
    <row r="19" ht="24" customHeight="1">
      <c r="A19" s="31" t="inlineStr">
        <is>
          <t>D012</t>
        </is>
      </c>
      <c r="B19" s="31" t="n">
        <v>1200</v>
      </c>
      <c r="C19" s="31" t="n">
        <v>200</v>
      </c>
      <c r="D19" s="31" t="inlineStr">
        <is>
          <t>U</t>
        </is>
      </c>
      <c r="E19" s="31" t="n">
        <v>0.35</v>
      </c>
      <c r="F19" s="31" t="inlineStr">
        <is>
          <t>Arterial</t>
        </is>
      </c>
      <c r="G19" s="31" t="inlineStr">
        <is>
          <t>DEVELOPMENT</t>
        </is>
      </c>
      <c r="H19" s="31" t="n">
        <v>3</v>
      </c>
      <c r="I19" s="31" t="inlineStr">
        <is>
          <t>COMPLETED</t>
        </is>
      </c>
      <c r="J19" s="31" t="inlineStr">
        <is>
          <t>Scheduled/stipulated inputs</t>
        </is>
      </c>
    </row>
    <row r="20" ht="24" customHeight="1">
      <c r="A20" s="31" t="inlineStr">
        <is>
          <t>D013</t>
        </is>
      </c>
      <c r="B20" s="31" t="n">
        <v>1200</v>
      </c>
      <c r="C20" s="31" t="n">
        <v>200</v>
      </c>
      <c r="D20" s="31" t="inlineStr">
        <is>
          <t>C</t>
        </is>
      </c>
      <c r="E20" s="31" t="n">
        <v>0.35</v>
      </c>
      <c r="F20" s="31" t="inlineStr">
        <is>
          <t>Balanced</t>
        </is>
      </c>
      <c r="G20" s="31" t="inlineStr">
        <is>
          <t>DEVELOPMENT</t>
        </is>
      </c>
      <c r="H20" s="31" t="n">
        <v>3</v>
      </c>
      <c r="I20" s="31" t="inlineStr">
        <is>
          <t>COMPLETED</t>
        </is>
      </c>
      <c r="J20" s="31" t="inlineStr">
        <is>
          <t>Scheduled/stipulated inputs</t>
        </is>
      </c>
    </row>
    <row r="21" ht="24" customHeight="1">
      <c r="A21" s="31" t="inlineStr">
        <is>
          <t>D014</t>
        </is>
      </c>
      <c r="B21" s="31" t="n">
        <v>1200</v>
      </c>
      <c r="C21" s="31" t="n">
        <v>200</v>
      </c>
      <c r="D21" s="31" t="inlineStr">
        <is>
          <t>C</t>
        </is>
      </c>
      <c r="E21" s="31" t="n">
        <v>0.35</v>
      </c>
      <c r="F21" s="31" t="inlineStr">
        <is>
          <t>Arterial</t>
        </is>
      </c>
      <c r="G21" s="31" t="inlineStr">
        <is>
          <t>DEVELOPMENT</t>
        </is>
      </c>
      <c r="H21" s="31" t="n">
        <v>3</v>
      </c>
      <c r="I21" s="31" t="inlineStr">
        <is>
          <t>COMPLETED</t>
        </is>
      </c>
      <c r="J21" s="31" t="inlineStr">
        <is>
          <t>Scheduled/stipulated inputs</t>
        </is>
      </c>
    </row>
    <row r="22" ht="24" customHeight="1">
      <c r="A22" s="31" t="inlineStr">
        <is>
          <t>D015</t>
        </is>
      </c>
      <c r="B22" s="31" t="n">
        <v>1200</v>
      </c>
      <c r="C22" s="31" t="n">
        <v>200</v>
      </c>
      <c r="D22" s="31" t="inlineStr">
        <is>
          <t>L</t>
        </is>
      </c>
      <c r="E22" s="31" t="n">
        <v>0.35</v>
      </c>
      <c r="F22" s="31" t="inlineStr">
        <is>
          <t>Balanced</t>
        </is>
      </c>
      <c r="G22" s="31" t="inlineStr">
        <is>
          <t>DEVELOPMENT</t>
        </is>
      </c>
      <c r="H22" s="31" t="n">
        <v>3</v>
      </c>
      <c r="I22" s="31" t="inlineStr">
        <is>
          <t>COMPLETED</t>
        </is>
      </c>
      <c r="J22" s="31" t="inlineStr">
        <is>
          <t>Scheduled/stipulated inputs</t>
        </is>
      </c>
    </row>
    <row r="23" ht="24" customHeight="1">
      <c r="A23" s="31" t="inlineStr">
        <is>
          <t>D016</t>
        </is>
      </c>
      <c r="B23" s="31" t="n">
        <v>1200</v>
      </c>
      <c r="C23" s="31" t="n">
        <v>200</v>
      </c>
      <c r="D23" s="31" t="inlineStr">
        <is>
          <t>L</t>
        </is>
      </c>
      <c r="E23" s="31" t="n">
        <v>0.35</v>
      </c>
      <c r="F23" s="31" t="inlineStr">
        <is>
          <t>Arterial</t>
        </is>
      </c>
      <c r="G23" s="31" t="inlineStr">
        <is>
          <t>DEVELOPMENT</t>
        </is>
      </c>
      <c r="H23" s="31" t="n">
        <v>3</v>
      </c>
      <c r="I23" s="31" t="inlineStr">
        <is>
          <t>COMPLETED</t>
        </is>
      </c>
      <c r="J23" s="31" t="inlineStr">
        <is>
          <t>Scheduled/stipulated inputs</t>
        </is>
      </c>
    </row>
    <row r="24" ht="24" customHeight="1">
      <c r="A24" s="31" t="inlineStr">
        <is>
          <t>D017</t>
        </is>
      </c>
      <c r="B24" s="31" t="n">
        <v>1680</v>
      </c>
      <c r="C24" s="31" t="n">
        <v>200</v>
      </c>
      <c r="D24" s="31" t="inlineStr">
        <is>
          <t>None</t>
        </is>
      </c>
      <c r="E24" s="31" t="n">
        <v>1</v>
      </c>
      <c r="F24" s="31" t="inlineStr">
        <is>
          <t>Balanced</t>
        </is>
      </c>
      <c r="G24" s="31" t="inlineStr">
        <is>
          <t>DEVELOPMENT</t>
        </is>
      </c>
      <c r="H24" s="31" t="n">
        <v>3</v>
      </c>
      <c r="I24" s="31" t="inlineStr">
        <is>
          <t>COMPLETED</t>
        </is>
      </c>
      <c r="J24" s="31" t="inlineStr">
        <is>
          <t>Scheduled/stipulated inputs</t>
        </is>
      </c>
    </row>
    <row r="25" ht="24" customHeight="1">
      <c r="A25" s="31" t="inlineStr">
        <is>
          <t>D018</t>
        </is>
      </c>
      <c r="B25" s="31" t="n">
        <v>1680</v>
      </c>
      <c r="C25" s="31" t="n">
        <v>200</v>
      </c>
      <c r="D25" s="31" t="inlineStr">
        <is>
          <t>None</t>
        </is>
      </c>
      <c r="E25" s="31" t="n">
        <v>1</v>
      </c>
      <c r="F25" s="31" t="inlineStr">
        <is>
          <t>Arterial</t>
        </is>
      </c>
      <c r="G25" s="31" t="inlineStr">
        <is>
          <t>DEVELOPMENT</t>
        </is>
      </c>
      <c r="H25" s="31" t="n">
        <v>3</v>
      </c>
      <c r="I25" s="31" t="inlineStr">
        <is>
          <t>COMPLETED</t>
        </is>
      </c>
      <c r="J25" s="31" t="inlineStr">
        <is>
          <t>Scheduled/stipulated inputs</t>
        </is>
      </c>
    </row>
    <row r="26" ht="24" customHeight="1">
      <c r="A26" s="31" t="inlineStr">
        <is>
          <t>D019</t>
        </is>
      </c>
      <c r="B26" s="31" t="n">
        <v>1680</v>
      </c>
      <c r="C26" s="31" t="n">
        <v>200</v>
      </c>
      <c r="D26" s="31" t="inlineStr">
        <is>
          <t>U</t>
        </is>
      </c>
      <c r="E26" s="31" t="n">
        <v>0.35</v>
      </c>
      <c r="F26" s="31" t="inlineStr">
        <is>
          <t>Balanced</t>
        </is>
      </c>
      <c r="G26" s="31" t="inlineStr">
        <is>
          <t>DEVELOPMENT</t>
        </is>
      </c>
      <c r="H26" s="31" t="n">
        <v>3</v>
      </c>
      <c r="I26" s="31" t="inlineStr">
        <is>
          <t>COMPLETED</t>
        </is>
      </c>
      <c r="J26" s="31" t="inlineStr">
        <is>
          <t>Scheduled/stipulated inputs</t>
        </is>
      </c>
    </row>
    <row r="27" ht="24" customHeight="1">
      <c r="A27" s="31" t="inlineStr">
        <is>
          <t>D020</t>
        </is>
      </c>
      <c r="B27" s="31" t="n">
        <v>1680</v>
      </c>
      <c r="C27" s="31" t="n">
        <v>200</v>
      </c>
      <c r="D27" s="31" t="inlineStr">
        <is>
          <t>U</t>
        </is>
      </c>
      <c r="E27" s="31" t="n">
        <v>0.35</v>
      </c>
      <c r="F27" s="31" t="inlineStr">
        <is>
          <t>Arterial</t>
        </is>
      </c>
      <c r="G27" s="31" t="inlineStr">
        <is>
          <t>DEVELOPMENT</t>
        </is>
      </c>
      <c r="H27" s="31" t="n">
        <v>3</v>
      </c>
      <c r="I27" s="31" t="inlineStr">
        <is>
          <t>COMPLETED</t>
        </is>
      </c>
      <c r="J27" s="31" t="inlineStr">
        <is>
          <t>Scheduled/stipulated inputs</t>
        </is>
      </c>
    </row>
    <row r="28" ht="24" customHeight="1">
      <c r="A28" s="31" t="inlineStr">
        <is>
          <t>D021</t>
        </is>
      </c>
      <c r="B28" s="31" t="n">
        <v>1680</v>
      </c>
      <c r="C28" s="31" t="n">
        <v>200</v>
      </c>
      <c r="D28" s="31" t="inlineStr">
        <is>
          <t>C</t>
        </is>
      </c>
      <c r="E28" s="31" t="n">
        <v>0.35</v>
      </c>
      <c r="F28" s="31" t="inlineStr">
        <is>
          <t>Balanced</t>
        </is>
      </c>
      <c r="G28" s="31" t="inlineStr">
        <is>
          <t>DEVELOPMENT</t>
        </is>
      </c>
      <c r="H28" s="31" t="n">
        <v>3</v>
      </c>
      <c r="I28" s="31" t="inlineStr">
        <is>
          <t>COMPLETED</t>
        </is>
      </c>
      <c r="J28" s="31" t="inlineStr">
        <is>
          <t>Scheduled/stipulated inputs</t>
        </is>
      </c>
    </row>
    <row r="29" ht="24" customHeight="1">
      <c r="A29" s="31" t="inlineStr">
        <is>
          <t>D022</t>
        </is>
      </c>
      <c r="B29" s="31" t="n">
        <v>1680</v>
      </c>
      <c r="C29" s="31" t="n">
        <v>200</v>
      </c>
      <c r="D29" s="31" t="inlineStr">
        <is>
          <t>C</t>
        </is>
      </c>
      <c r="E29" s="31" t="n">
        <v>0.35</v>
      </c>
      <c r="F29" s="31" t="inlineStr">
        <is>
          <t>Arterial</t>
        </is>
      </c>
      <c r="G29" s="31" t="inlineStr">
        <is>
          <t>DEVELOPMENT</t>
        </is>
      </c>
      <c r="H29" s="31" t="n">
        <v>3</v>
      </c>
      <c r="I29" s="31" t="inlineStr">
        <is>
          <t>COMPLETED</t>
        </is>
      </c>
      <c r="J29" s="31" t="inlineStr">
        <is>
          <t>Scheduled/stipulated inputs</t>
        </is>
      </c>
    </row>
    <row r="30" ht="24" customHeight="1">
      <c r="A30" s="31" t="inlineStr">
        <is>
          <t>D023</t>
        </is>
      </c>
      <c r="B30" s="31" t="n">
        <v>1680</v>
      </c>
      <c r="C30" s="31" t="n">
        <v>200</v>
      </c>
      <c r="D30" s="31" t="inlineStr">
        <is>
          <t>L</t>
        </is>
      </c>
      <c r="E30" s="31" t="n">
        <v>0.35</v>
      </c>
      <c r="F30" s="31" t="inlineStr">
        <is>
          <t>Balanced</t>
        </is>
      </c>
      <c r="G30" s="31" t="inlineStr">
        <is>
          <t>DEVELOPMENT</t>
        </is>
      </c>
      <c r="H30" s="31" t="n">
        <v>3</v>
      </c>
      <c r="I30" s="31" t="inlineStr">
        <is>
          <t>COMPLETED</t>
        </is>
      </c>
      <c r="J30" s="31" t="inlineStr">
        <is>
          <t>Scheduled/stipulated inputs</t>
        </is>
      </c>
    </row>
    <row r="31" ht="24" customHeight="1">
      <c r="A31" s="31" t="inlineStr">
        <is>
          <t>D024</t>
        </is>
      </c>
      <c r="B31" s="31" t="n">
        <v>1680</v>
      </c>
      <c r="C31" s="31" t="n">
        <v>200</v>
      </c>
      <c r="D31" s="31" t="inlineStr">
        <is>
          <t>L</t>
        </is>
      </c>
      <c r="E31" s="31" t="n">
        <v>0.35</v>
      </c>
      <c r="F31" s="31" t="inlineStr">
        <is>
          <t>Arterial</t>
        </is>
      </c>
      <c r="G31" s="31" t="inlineStr">
        <is>
          <t>DEVELOPMENT</t>
        </is>
      </c>
      <c r="H31" s="31" t="n">
        <v>3</v>
      </c>
      <c r="I31" s="31" t="inlineStr">
        <is>
          <t>COMPLETED</t>
        </is>
      </c>
      <c r="J31" s="31" t="inlineStr">
        <is>
          <t>Scheduled/stipulated inputs</t>
        </is>
      </c>
    </row>
    <row r="32" ht="24" customHeight="1">
      <c r="A32" s="31" t="inlineStr">
        <is>
          <t>M001</t>
        </is>
      </c>
      <c r="B32" s="31" t="n">
        <v>720</v>
      </c>
      <c r="C32" s="31" t="n">
        <v>120</v>
      </c>
      <c r="D32" s="31" t="inlineStr">
        <is>
          <t>None</t>
        </is>
      </c>
      <c r="E32" s="31" t="n">
        <v>1</v>
      </c>
      <c r="F32" s="31" t="inlineStr">
        <is>
          <t>Balanced</t>
        </is>
      </c>
      <c r="G32" s="31" t="inlineStr">
        <is>
          <t>TRAIN</t>
        </is>
      </c>
      <c r="H32" s="31" t="n">
        <v>5</v>
      </c>
      <c r="I32" s="31" t="inlineStr">
        <is>
          <t>TO BE GENERATED — BLOCKED</t>
        </is>
      </c>
      <c r="J32" s="31" t="inlineStr">
        <is>
          <t>Scheduled/stipulated inputs</t>
        </is>
      </c>
    </row>
    <row r="33" ht="24" customHeight="1">
      <c r="A33" s="31" t="inlineStr">
        <is>
          <t>M002</t>
        </is>
      </c>
      <c r="B33" s="31" t="n">
        <v>720</v>
      </c>
      <c r="C33" s="31" t="n">
        <v>120</v>
      </c>
      <c r="D33" s="31" t="inlineStr">
        <is>
          <t>None</t>
        </is>
      </c>
      <c r="E33" s="31" t="n">
        <v>1</v>
      </c>
      <c r="F33" s="31" t="inlineStr">
        <is>
          <t>Arterial</t>
        </is>
      </c>
      <c r="G33" s="31" t="inlineStr">
        <is>
          <t>TRAIN</t>
        </is>
      </c>
      <c r="H33" s="31" t="n">
        <v>5</v>
      </c>
      <c r="I33" s="31" t="inlineStr">
        <is>
          <t>TO BE GENERATED — BLOCKED</t>
        </is>
      </c>
      <c r="J33" s="31" t="inlineStr">
        <is>
          <t>Scheduled/stipulated inputs</t>
        </is>
      </c>
    </row>
    <row r="34" ht="24" customHeight="1">
      <c r="A34" s="31" t="inlineStr">
        <is>
          <t>M003</t>
        </is>
      </c>
      <c r="B34" s="31" t="n">
        <v>720</v>
      </c>
      <c r="C34" s="31" t="n">
        <v>120</v>
      </c>
      <c r="D34" s="31" t="inlineStr">
        <is>
          <t>U</t>
        </is>
      </c>
      <c r="E34" s="31" t="n">
        <v>0.35</v>
      </c>
      <c r="F34" s="31" t="inlineStr">
        <is>
          <t>Balanced</t>
        </is>
      </c>
      <c r="G34" s="31" t="inlineStr">
        <is>
          <t>TRAIN</t>
        </is>
      </c>
      <c r="H34" s="31" t="n">
        <v>5</v>
      </c>
      <c r="I34" s="31" t="inlineStr">
        <is>
          <t>TO BE GENERATED — BLOCKED</t>
        </is>
      </c>
      <c r="J34" s="31" t="inlineStr">
        <is>
          <t>Scheduled/stipulated inputs</t>
        </is>
      </c>
    </row>
    <row r="35" ht="24" customHeight="1">
      <c r="A35" s="31" t="inlineStr">
        <is>
          <t>M004</t>
        </is>
      </c>
      <c r="B35" s="31" t="n">
        <v>720</v>
      </c>
      <c r="C35" s="31" t="n">
        <v>120</v>
      </c>
      <c r="D35" s="31" t="inlineStr">
        <is>
          <t>U</t>
        </is>
      </c>
      <c r="E35" s="31" t="n">
        <v>0.35</v>
      </c>
      <c r="F35" s="31" t="inlineStr">
        <is>
          <t>Arterial</t>
        </is>
      </c>
      <c r="G35" s="31" t="inlineStr">
        <is>
          <t>VALIDATION</t>
        </is>
      </c>
      <c r="H35" s="31" t="n">
        <v>5</v>
      </c>
      <c r="I35" s="31" t="inlineStr">
        <is>
          <t>TO BE GENERATED — BLOCKED</t>
        </is>
      </c>
      <c r="J35" s="31" t="inlineStr">
        <is>
          <t>Scheduled/stipulated inputs</t>
        </is>
      </c>
    </row>
    <row r="36" ht="24" customHeight="1">
      <c r="A36" s="31" t="inlineStr">
        <is>
          <t>M005</t>
        </is>
      </c>
      <c r="B36" s="31" t="n">
        <v>720</v>
      </c>
      <c r="C36" s="31" t="n">
        <v>120</v>
      </c>
      <c r="D36" s="31" t="inlineStr">
        <is>
          <t>U</t>
        </is>
      </c>
      <c r="E36" s="31" t="n">
        <v>0.65</v>
      </c>
      <c r="F36" s="31" t="inlineStr">
        <is>
          <t>Balanced</t>
        </is>
      </c>
      <c r="G36" s="31" t="inlineStr">
        <is>
          <t>TRAIN</t>
        </is>
      </c>
      <c r="H36" s="31" t="n">
        <v>5</v>
      </c>
      <c r="I36" s="31" t="inlineStr">
        <is>
          <t>TO BE GENERATED — BLOCKED</t>
        </is>
      </c>
      <c r="J36" s="31" t="inlineStr">
        <is>
          <t>Scheduled/stipulated inputs</t>
        </is>
      </c>
    </row>
    <row r="37" ht="24" customHeight="1">
      <c r="A37" s="31" t="inlineStr">
        <is>
          <t>M006</t>
        </is>
      </c>
      <c r="B37" s="31" t="n">
        <v>720</v>
      </c>
      <c r="C37" s="31" t="n">
        <v>120</v>
      </c>
      <c r="D37" s="31" t="inlineStr">
        <is>
          <t>U</t>
        </is>
      </c>
      <c r="E37" s="31" t="n">
        <v>0.65</v>
      </c>
      <c r="F37" s="31" t="inlineStr">
        <is>
          <t>Arterial</t>
        </is>
      </c>
      <c r="G37" s="31" t="inlineStr">
        <is>
          <t>TEST</t>
        </is>
      </c>
      <c r="H37" s="31" t="n">
        <v>5</v>
      </c>
      <c r="I37" s="31" t="inlineStr">
        <is>
          <t>TO BE GENERATED — BLOCKED</t>
        </is>
      </c>
      <c r="J37" s="31" t="inlineStr">
        <is>
          <t>Scheduled/stipulated inputs</t>
        </is>
      </c>
    </row>
    <row r="38" ht="24" customHeight="1">
      <c r="A38" s="31" t="inlineStr">
        <is>
          <t>M007</t>
        </is>
      </c>
      <c r="B38" s="31" t="n">
        <v>720</v>
      </c>
      <c r="C38" s="31" t="n">
        <v>120</v>
      </c>
      <c r="D38" s="31" t="inlineStr">
        <is>
          <t>C</t>
        </is>
      </c>
      <c r="E38" s="31" t="n">
        <v>0.35</v>
      </c>
      <c r="F38" s="31" t="inlineStr">
        <is>
          <t>Balanced</t>
        </is>
      </c>
      <c r="G38" s="31" t="inlineStr">
        <is>
          <t>VALIDATION</t>
        </is>
      </c>
      <c r="H38" s="31" t="n">
        <v>5</v>
      </c>
      <c r="I38" s="31" t="inlineStr">
        <is>
          <t>TO BE GENERATED — BLOCKED</t>
        </is>
      </c>
      <c r="J38" s="31" t="inlineStr">
        <is>
          <t>Scheduled/stipulated inputs</t>
        </is>
      </c>
    </row>
    <row r="39" ht="24" customHeight="1">
      <c r="A39" s="31" t="inlineStr">
        <is>
          <t>M008</t>
        </is>
      </c>
      <c r="B39" s="31" t="n">
        <v>720</v>
      </c>
      <c r="C39" s="31" t="n">
        <v>120</v>
      </c>
      <c r="D39" s="31" t="inlineStr">
        <is>
          <t>C</t>
        </is>
      </c>
      <c r="E39" s="31" t="n">
        <v>0.35</v>
      </c>
      <c r="F39" s="31" t="inlineStr">
        <is>
          <t>Arterial</t>
        </is>
      </c>
      <c r="G39" s="31" t="inlineStr">
        <is>
          <t>TRAIN</t>
        </is>
      </c>
      <c r="H39" s="31" t="n">
        <v>5</v>
      </c>
      <c r="I39" s="31" t="inlineStr">
        <is>
          <t>TO BE GENERATED — BLOCKED</t>
        </is>
      </c>
      <c r="J39" s="31" t="inlineStr">
        <is>
          <t>Scheduled/stipulated inputs</t>
        </is>
      </c>
    </row>
    <row r="40" ht="24" customHeight="1">
      <c r="A40" s="31" t="inlineStr">
        <is>
          <t>M009</t>
        </is>
      </c>
      <c r="B40" s="31" t="n">
        <v>720</v>
      </c>
      <c r="C40" s="31" t="n">
        <v>120</v>
      </c>
      <c r="D40" s="31" t="inlineStr">
        <is>
          <t>C</t>
        </is>
      </c>
      <c r="E40" s="31" t="n">
        <v>0.65</v>
      </c>
      <c r="F40" s="31" t="inlineStr">
        <is>
          <t>Balanced</t>
        </is>
      </c>
      <c r="G40" s="31" t="inlineStr">
        <is>
          <t>TEST</t>
        </is>
      </c>
      <c r="H40" s="31" t="n">
        <v>5</v>
      </c>
      <c r="I40" s="31" t="inlineStr">
        <is>
          <t>TO BE GENERATED — BLOCKED</t>
        </is>
      </c>
      <c r="J40" s="31" t="inlineStr">
        <is>
          <t>Scheduled/stipulated inputs</t>
        </is>
      </c>
    </row>
    <row r="41" ht="24" customHeight="1">
      <c r="A41" s="31" t="inlineStr">
        <is>
          <t>M010</t>
        </is>
      </c>
      <c r="B41" s="31" t="n">
        <v>720</v>
      </c>
      <c r="C41" s="31" t="n">
        <v>120</v>
      </c>
      <c r="D41" s="31" t="inlineStr">
        <is>
          <t>C</t>
        </is>
      </c>
      <c r="E41" s="31" t="n">
        <v>0.65</v>
      </c>
      <c r="F41" s="31" t="inlineStr">
        <is>
          <t>Arterial</t>
        </is>
      </c>
      <c r="G41" s="31" t="inlineStr">
        <is>
          <t>TRAIN</t>
        </is>
      </c>
      <c r="H41" s="31" t="n">
        <v>5</v>
      </c>
      <c r="I41" s="31" t="inlineStr">
        <is>
          <t>TO BE GENERATED — BLOCKED</t>
        </is>
      </c>
      <c r="J41" s="31" t="inlineStr">
        <is>
          <t>Scheduled/stipulated inputs</t>
        </is>
      </c>
    </row>
    <row r="42" ht="24" customHeight="1">
      <c r="A42" s="31" t="inlineStr">
        <is>
          <t>M011</t>
        </is>
      </c>
      <c r="B42" s="31" t="n">
        <v>720</v>
      </c>
      <c r="C42" s="31" t="n">
        <v>120</v>
      </c>
      <c r="D42" s="31" t="inlineStr">
        <is>
          <t>L</t>
        </is>
      </c>
      <c r="E42" s="31" t="n">
        <v>0.35</v>
      </c>
      <c r="F42" s="31" t="inlineStr">
        <is>
          <t>Balanced</t>
        </is>
      </c>
      <c r="G42" s="31" t="inlineStr">
        <is>
          <t>TRAIN</t>
        </is>
      </c>
      <c r="H42" s="31" t="n">
        <v>5</v>
      </c>
      <c r="I42" s="31" t="inlineStr">
        <is>
          <t>TO BE GENERATED — BLOCKED</t>
        </is>
      </c>
      <c r="J42" s="31" t="inlineStr">
        <is>
          <t>Scheduled/stipulated inputs</t>
        </is>
      </c>
    </row>
    <row r="43" ht="24" customHeight="1">
      <c r="A43" s="31" t="inlineStr">
        <is>
          <t>M012</t>
        </is>
      </c>
      <c r="B43" s="31" t="n">
        <v>720</v>
      </c>
      <c r="C43" s="31" t="n">
        <v>120</v>
      </c>
      <c r="D43" s="31" t="inlineStr">
        <is>
          <t>L</t>
        </is>
      </c>
      <c r="E43" s="31" t="n">
        <v>0.35</v>
      </c>
      <c r="F43" s="31" t="inlineStr">
        <is>
          <t>Arterial</t>
        </is>
      </c>
      <c r="G43" s="31" t="inlineStr">
        <is>
          <t>TRAIN</t>
        </is>
      </c>
      <c r="H43" s="31" t="n">
        <v>5</v>
      </c>
      <c r="I43" s="31" t="inlineStr">
        <is>
          <t>TO BE GENERATED — BLOCKED</t>
        </is>
      </c>
      <c r="J43" s="31" t="inlineStr">
        <is>
          <t>Scheduled/stipulated inputs</t>
        </is>
      </c>
    </row>
    <row r="44" ht="24" customHeight="1">
      <c r="A44" s="31" t="inlineStr">
        <is>
          <t>M013</t>
        </is>
      </c>
      <c r="B44" s="31" t="n">
        <v>720</v>
      </c>
      <c r="C44" s="31" t="n">
        <v>120</v>
      </c>
      <c r="D44" s="31" t="inlineStr">
        <is>
          <t>L</t>
        </is>
      </c>
      <c r="E44" s="31" t="n">
        <v>0.65</v>
      </c>
      <c r="F44" s="31" t="inlineStr">
        <is>
          <t>Balanced</t>
        </is>
      </c>
      <c r="G44" s="31" t="inlineStr">
        <is>
          <t>TRAIN</t>
        </is>
      </c>
      <c r="H44" s="31" t="n">
        <v>5</v>
      </c>
      <c r="I44" s="31" t="inlineStr">
        <is>
          <t>TO BE GENERATED — BLOCKED</t>
        </is>
      </c>
      <c r="J44" s="31" t="inlineStr">
        <is>
          <t>Scheduled/stipulated inputs</t>
        </is>
      </c>
    </row>
    <row r="45" ht="24" customHeight="1">
      <c r="A45" s="31" t="inlineStr">
        <is>
          <t>M014</t>
        </is>
      </c>
      <c r="B45" s="31" t="n">
        <v>720</v>
      </c>
      <c r="C45" s="31" t="n">
        <v>120</v>
      </c>
      <c r="D45" s="31" t="inlineStr">
        <is>
          <t>L</t>
        </is>
      </c>
      <c r="E45" s="31" t="n">
        <v>0.65</v>
      </c>
      <c r="F45" s="31" t="inlineStr">
        <is>
          <t>Arterial</t>
        </is>
      </c>
      <c r="G45" s="31" t="inlineStr">
        <is>
          <t>VALIDATION</t>
        </is>
      </c>
      <c r="H45" s="31" t="n">
        <v>5</v>
      </c>
      <c r="I45" s="31" t="inlineStr">
        <is>
          <t>TO BE GENERATED — BLOCKED</t>
        </is>
      </c>
      <c r="J45" s="31" t="inlineStr">
        <is>
          <t>Scheduled/stipulated inputs</t>
        </is>
      </c>
    </row>
    <row r="46" ht="24" customHeight="1">
      <c r="A46" s="31" t="inlineStr">
        <is>
          <t>M015</t>
        </is>
      </c>
      <c r="B46" s="31" t="n">
        <v>720</v>
      </c>
      <c r="C46" s="31" t="n">
        <v>280</v>
      </c>
      <c r="D46" s="31" t="inlineStr">
        <is>
          <t>None</t>
        </is>
      </c>
      <c r="E46" s="31" t="n">
        <v>1</v>
      </c>
      <c r="F46" s="31" t="inlineStr">
        <is>
          <t>Balanced</t>
        </is>
      </c>
      <c r="G46" s="31" t="inlineStr">
        <is>
          <t>TRAIN</t>
        </is>
      </c>
      <c r="H46" s="31" t="n">
        <v>5</v>
      </c>
      <c r="I46" s="31" t="inlineStr">
        <is>
          <t>TO BE GENERATED — BLOCKED</t>
        </is>
      </c>
      <c r="J46" s="31" t="inlineStr">
        <is>
          <t>Scheduled/stipulated inputs</t>
        </is>
      </c>
    </row>
    <row r="47" ht="24" customHeight="1">
      <c r="A47" s="31" t="inlineStr">
        <is>
          <t>M016</t>
        </is>
      </c>
      <c r="B47" s="31" t="n">
        <v>720</v>
      </c>
      <c r="C47" s="31" t="n">
        <v>280</v>
      </c>
      <c r="D47" s="31" t="inlineStr">
        <is>
          <t>None</t>
        </is>
      </c>
      <c r="E47" s="31" t="n">
        <v>1</v>
      </c>
      <c r="F47" s="31" t="inlineStr">
        <is>
          <t>Arterial</t>
        </is>
      </c>
      <c r="G47" s="31" t="inlineStr">
        <is>
          <t>VALIDATION</t>
        </is>
      </c>
      <c r="H47" s="31" t="n">
        <v>5</v>
      </c>
      <c r="I47" s="31" t="inlineStr">
        <is>
          <t>TO BE GENERATED — BLOCKED</t>
        </is>
      </c>
      <c r="J47" s="31" t="inlineStr">
        <is>
          <t>Scheduled/stipulated inputs</t>
        </is>
      </c>
    </row>
    <row r="48" ht="24" customHeight="1">
      <c r="A48" s="31" t="inlineStr">
        <is>
          <t>M017</t>
        </is>
      </c>
      <c r="B48" s="31" t="n">
        <v>720</v>
      </c>
      <c r="C48" s="31" t="n">
        <v>280</v>
      </c>
      <c r="D48" s="31" t="inlineStr">
        <is>
          <t>U</t>
        </is>
      </c>
      <c r="E48" s="31" t="n">
        <v>0.35</v>
      </c>
      <c r="F48" s="31" t="inlineStr">
        <is>
          <t>Balanced</t>
        </is>
      </c>
      <c r="G48" s="31" t="inlineStr">
        <is>
          <t>TRAIN</t>
        </is>
      </c>
      <c r="H48" s="31" t="n">
        <v>5</v>
      </c>
      <c r="I48" s="31" t="inlineStr">
        <is>
          <t>TO BE GENERATED — BLOCKED</t>
        </is>
      </c>
      <c r="J48" s="31" t="inlineStr">
        <is>
          <t>Scheduled/stipulated inputs</t>
        </is>
      </c>
    </row>
    <row r="49" ht="24" customHeight="1">
      <c r="A49" s="31" t="inlineStr">
        <is>
          <t>M018</t>
        </is>
      </c>
      <c r="B49" s="31" t="n">
        <v>720</v>
      </c>
      <c r="C49" s="31" t="n">
        <v>280</v>
      </c>
      <c r="D49" s="31" t="inlineStr">
        <is>
          <t>U</t>
        </is>
      </c>
      <c r="E49" s="31" t="n">
        <v>0.35</v>
      </c>
      <c r="F49" s="31" t="inlineStr">
        <is>
          <t>Arterial</t>
        </is>
      </c>
      <c r="G49" s="31" t="inlineStr">
        <is>
          <t>TEST</t>
        </is>
      </c>
      <c r="H49" s="31" t="n">
        <v>5</v>
      </c>
      <c r="I49" s="31" t="inlineStr">
        <is>
          <t>TO BE GENERATED — BLOCKED</t>
        </is>
      </c>
      <c r="J49" s="31" t="inlineStr">
        <is>
          <t>Scheduled/stipulated inputs</t>
        </is>
      </c>
    </row>
    <row r="50" ht="24" customHeight="1">
      <c r="A50" s="31" t="inlineStr">
        <is>
          <t>M019</t>
        </is>
      </c>
      <c r="B50" s="31" t="n">
        <v>720</v>
      </c>
      <c r="C50" s="31" t="n">
        <v>280</v>
      </c>
      <c r="D50" s="31" t="inlineStr">
        <is>
          <t>U</t>
        </is>
      </c>
      <c r="E50" s="31" t="n">
        <v>0.65</v>
      </c>
      <c r="F50" s="31" t="inlineStr">
        <is>
          <t>Balanced</t>
        </is>
      </c>
      <c r="G50" s="31" t="inlineStr">
        <is>
          <t>VALIDATION</t>
        </is>
      </c>
      <c r="H50" s="31" t="n">
        <v>5</v>
      </c>
      <c r="I50" s="31" t="inlineStr">
        <is>
          <t>TO BE GENERATED — BLOCKED</t>
        </is>
      </c>
      <c r="J50" s="31" t="inlineStr">
        <is>
          <t>Scheduled/stipulated inputs</t>
        </is>
      </c>
    </row>
    <row r="51" ht="24" customHeight="1">
      <c r="A51" s="31" t="inlineStr">
        <is>
          <t>M020</t>
        </is>
      </c>
      <c r="B51" s="31" t="n">
        <v>720</v>
      </c>
      <c r="C51" s="31" t="n">
        <v>280</v>
      </c>
      <c r="D51" s="31" t="inlineStr">
        <is>
          <t>U</t>
        </is>
      </c>
      <c r="E51" s="31" t="n">
        <v>0.65</v>
      </c>
      <c r="F51" s="31" t="inlineStr">
        <is>
          <t>Arterial</t>
        </is>
      </c>
      <c r="G51" s="31" t="inlineStr">
        <is>
          <t>TRAIN</t>
        </is>
      </c>
      <c r="H51" s="31" t="n">
        <v>5</v>
      </c>
      <c r="I51" s="31" t="inlineStr">
        <is>
          <t>TO BE GENERATED — BLOCKED</t>
        </is>
      </c>
      <c r="J51" s="31" t="inlineStr">
        <is>
          <t>Scheduled/stipulated inputs</t>
        </is>
      </c>
    </row>
    <row r="52" ht="24" customHeight="1">
      <c r="A52" s="31" t="inlineStr">
        <is>
          <t>M021</t>
        </is>
      </c>
      <c r="B52" s="31" t="n">
        <v>720</v>
      </c>
      <c r="C52" s="31" t="n">
        <v>280</v>
      </c>
      <c r="D52" s="31" t="inlineStr">
        <is>
          <t>C</t>
        </is>
      </c>
      <c r="E52" s="31" t="n">
        <v>0.35</v>
      </c>
      <c r="F52" s="31" t="inlineStr">
        <is>
          <t>Balanced</t>
        </is>
      </c>
      <c r="G52" s="31" t="inlineStr">
        <is>
          <t>TEST</t>
        </is>
      </c>
      <c r="H52" s="31" t="n">
        <v>5</v>
      </c>
      <c r="I52" s="31" t="inlineStr">
        <is>
          <t>TO BE GENERATED — BLOCKED</t>
        </is>
      </c>
      <c r="J52" s="31" t="inlineStr">
        <is>
          <t>Scheduled/stipulated inputs</t>
        </is>
      </c>
    </row>
    <row r="53" ht="24" customHeight="1">
      <c r="A53" s="31" t="inlineStr">
        <is>
          <t>M022</t>
        </is>
      </c>
      <c r="B53" s="31" t="n">
        <v>720</v>
      </c>
      <c r="C53" s="31" t="n">
        <v>280</v>
      </c>
      <c r="D53" s="31" t="inlineStr">
        <is>
          <t>C</t>
        </is>
      </c>
      <c r="E53" s="31" t="n">
        <v>0.35</v>
      </c>
      <c r="F53" s="31" t="inlineStr">
        <is>
          <t>Arterial</t>
        </is>
      </c>
      <c r="G53" s="31" t="inlineStr">
        <is>
          <t>TRAIN</t>
        </is>
      </c>
      <c r="H53" s="31" t="n">
        <v>5</v>
      </c>
      <c r="I53" s="31" t="inlineStr">
        <is>
          <t>TO BE GENERATED — BLOCKED</t>
        </is>
      </c>
      <c r="J53" s="31" t="inlineStr">
        <is>
          <t>Scheduled/stipulated inputs</t>
        </is>
      </c>
    </row>
    <row r="54" ht="24" customHeight="1">
      <c r="A54" s="31" t="inlineStr">
        <is>
          <t>M023</t>
        </is>
      </c>
      <c r="B54" s="31" t="n">
        <v>720</v>
      </c>
      <c r="C54" s="31" t="n">
        <v>280</v>
      </c>
      <c r="D54" s="31" t="inlineStr">
        <is>
          <t>C</t>
        </is>
      </c>
      <c r="E54" s="31" t="n">
        <v>0.65</v>
      </c>
      <c r="F54" s="31" t="inlineStr">
        <is>
          <t>Balanced</t>
        </is>
      </c>
      <c r="G54" s="31" t="inlineStr">
        <is>
          <t>TRAIN</t>
        </is>
      </c>
      <c r="H54" s="31" t="n">
        <v>5</v>
      </c>
      <c r="I54" s="31" t="inlineStr">
        <is>
          <t>TO BE GENERATED — BLOCKED</t>
        </is>
      </c>
      <c r="J54" s="31" t="inlineStr">
        <is>
          <t>Scheduled/stipulated inputs</t>
        </is>
      </c>
    </row>
    <row r="55" ht="24" customHeight="1">
      <c r="A55" s="31" t="inlineStr">
        <is>
          <t>M024</t>
        </is>
      </c>
      <c r="B55" s="31" t="n">
        <v>720</v>
      </c>
      <c r="C55" s="31" t="n">
        <v>280</v>
      </c>
      <c r="D55" s="31" t="inlineStr">
        <is>
          <t>C</t>
        </is>
      </c>
      <c r="E55" s="31" t="n">
        <v>0.65</v>
      </c>
      <c r="F55" s="31" t="inlineStr">
        <is>
          <t>Arterial</t>
        </is>
      </c>
      <c r="G55" s="31" t="inlineStr">
        <is>
          <t>TRAIN</t>
        </is>
      </c>
      <c r="H55" s="31" t="n">
        <v>5</v>
      </c>
      <c r="I55" s="31" t="inlineStr">
        <is>
          <t>TO BE GENERATED — BLOCKED</t>
        </is>
      </c>
      <c r="J55" s="31" t="inlineStr">
        <is>
          <t>Scheduled/stipulated inputs</t>
        </is>
      </c>
    </row>
    <row r="56" ht="24" customHeight="1">
      <c r="A56" s="31" t="inlineStr">
        <is>
          <t>M025</t>
        </is>
      </c>
      <c r="B56" s="31" t="n">
        <v>720</v>
      </c>
      <c r="C56" s="31" t="n">
        <v>280</v>
      </c>
      <c r="D56" s="31" t="inlineStr">
        <is>
          <t>L</t>
        </is>
      </c>
      <c r="E56" s="31" t="n">
        <v>0.35</v>
      </c>
      <c r="F56" s="31" t="inlineStr">
        <is>
          <t>Balanced</t>
        </is>
      </c>
      <c r="G56" s="31" t="inlineStr">
        <is>
          <t>TRAIN</t>
        </is>
      </c>
      <c r="H56" s="31" t="n">
        <v>5</v>
      </c>
      <c r="I56" s="31" t="inlineStr">
        <is>
          <t>TO BE GENERATED — BLOCKED</t>
        </is>
      </c>
      <c r="J56" s="31" t="inlineStr">
        <is>
          <t>Scheduled/stipulated inputs</t>
        </is>
      </c>
    </row>
    <row r="57" ht="24" customHeight="1">
      <c r="A57" s="31" t="inlineStr">
        <is>
          <t>M026</t>
        </is>
      </c>
      <c r="B57" s="31" t="n">
        <v>720</v>
      </c>
      <c r="C57" s="31" t="n">
        <v>280</v>
      </c>
      <c r="D57" s="31" t="inlineStr">
        <is>
          <t>L</t>
        </is>
      </c>
      <c r="E57" s="31" t="n">
        <v>0.35</v>
      </c>
      <c r="F57" s="31" t="inlineStr">
        <is>
          <t>Arterial</t>
        </is>
      </c>
      <c r="G57" s="31" t="inlineStr">
        <is>
          <t>VALIDATION</t>
        </is>
      </c>
      <c r="H57" s="31" t="n">
        <v>5</v>
      </c>
      <c r="I57" s="31" t="inlineStr">
        <is>
          <t>TO BE GENERATED — BLOCKED</t>
        </is>
      </c>
      <c r="J57" s="31" t="inlineStr">
        <is>
          <t>Scheduled/stipulated inputs</t>
        </is>
      </c>
    </row>
    <row r="58" ht="24" customHeight="1">
      <c r="A58" s="31" t="inlineStr">
        <is>
          <t>M027</t>
        </is>
      </c>
      <c r="B58" s="31" t="n">
        <v>720</v>
      </c>
      <c r="C58" s="31" t="n">
        <v>280</v>
      </c>
      <c r="D58" s="31" t="inlineStr">
        <is>
          <t>L</t>
        </is>
      </c>
      <c r="E58" s="31" t="n">
        <v>0.65</v>
      </c>
      <c r="F58" s="31" t="inlineStr">
        <is>
          <t>Balanced</t>
        </is>
      </c>
      <c r="G58" s="31" t="inlineStr">
        <is>
          <t>TRAIN</t>
        </is>
      </c>
      <c r="H58" s="31" t="n">
        <v>5</v>
      </c>
      <c r="I58" s="31" t="inlineStr">
        <is>
          <t>TO BE GENERATED — BLOCKED</t>
        </is>
      </c>
      <c r="J58" s="31" t="inlineStr">
        <is>
          <t>Scheduled/stipulated inputs</t>
        </is>
      </c>
    </row>
    <row r="59" ht="24" customHeight="1">
      <c r="A59" s="31" t="inlineStr">
        <is>
          <t>M028</t>
        </is>
      </c>
      <c r="B59" s="31" t="n">
        <v>720</v>
      </c>
      <c r="C59" s="31" t="n">
        <v>280</v>
      </c>
      <c r="D59" s="31" t="inlineStr">
        <is>
          <t>L</t>
        </is>
      </c>
      <c r="E59" s="31" t="n">
        <v>0.65</v>
      </c>
      <c r="F59" s="31" t="inlineStr">
        <is>
          <t>Arterial</t>
        </is>
      </c>
      <c r="G59" s="31" t="inlineStr">
        <is>
          <t>TEST</t>
        </is>
      </c>
      <c r="H59" s="31" t="n">
        <v>5</v>
      </c>
      <c r="I59" s="31" t="inlineStr">
        <is>
          <t>TO BE GENERATED — BLOCKED</t>
        </is>
      </c>
      <c r="J59" s="31" t="inlineStr">
        <is>
          <t>Scheduled/stipulated inputs</t>
        </is>
      </c>
    </row>
    <row r="60" ht="24" customHeight="1">
      <c r="A60" s="31" t="inlineStr">
        <is>
          <t>M029</t>
        </is>
      </c>
      <c r="B60" s="31" t="n">
        <v>960</v>
      </c>
      <c r="C60" s="31" t="n">
        <v>120</v>
      </c>
      <c r="D60" s="31" t="inlineStr">
        <is>
          <t>None</t>
        </is>
      </c>
      <c r="E60" s="31" t="n">
        <v>1</v>
      </c>
      <c r="F60" s="31" t="inlineStr">
        <is>
          <t>Balanced</t>
        </is>
      </c>
      <c r="G60" s="31" t="inlineStr">
        <is>
          <t>TRAIN</t>
        </is>
      </c>
      <c r="H60" s="31" t="n">
        <v>5</v>
      </c>
      <c r="I60" s="31" t="inlineStr">
        <is>
          <t>TO BE GENERATED — BLOCKED</t>
        </is>
      </c>
      <c r="J60" s="31" t="inlineStr">
        <is>
          <t>Scheduled/stipulated inputs</t>
        </is>
      </c>
    </row>
    <row r="61" ht="24" customHeight="1">
      <c r="A61" s="31" t="inlineStr">
        <is>
          <t>M030</t>
        </is>
      </c>
      <c r="B61" s="31" t="n">
        <v>960</v>
      </c>
      <c r="C61" s="31" t="n">
        <v>120</v>
      </c>
      <c r="D61" s="31" t="inlineStr">
        <is>
          <t>None</t>
        </is>
      </c>
      <c r="E61" s="31" t="n">
        <v>1</v>
      </c>
      <c r="F61" s="31" t="inlineStr">
        <is>
          <t>Arterial</t>
        </is>
      </c>
      <c r="G61" s="31" t="inlineStr">
        <is>
          <t>VALIDATION</t>
        </is>
      </c>
      <c r="H61" s="31" t="n">
        <v>5</v>
      </c>
      <c r="I61" s="31" t="inlineStr">
        <is>
          <t>TO BE GENERATED — BLOCKED</t>
        </is>
      </c>
      <c r="J61" s="31" t="inlineStr">
        <is>
          <t>Scheduled/stipulated inputs</t>
        </is>
      </c>
    </row>
    <row r="62" ht="24" customHeight="1">
      <c r="A62" s="31" t="inlineStr">
        <is>
          <t>M031</t>
        </is>
      </c>
      <c r="B62" s="31" t="n">
        <v>960</v>
      </c>
      <c r="C62" s="31" t="n">
        <v>120</v>
      </c>
      <c r="D62" s="31" t="inlineStr">
        <is>
          <t>U</t>
        </is>
      </c>
      <c r="E62" s="31" t="n">
        <v>0.35</v>
      </c>
      <c r="F62" s="31" t="inlineStr">
        <is>
          <t>Balanced</t>
        </is>
      </c>
      <c r="G62" s="31" t="inlineStr">
        <is>
          <t>TRAIN</t>
        </is>
      </c>
      <c r="H62" s="31" t="n">
        <v>5</v>
      </c>
      <c r="I62" s="31" t="inlineStr">
        <is>
          <t>TO BE GENERATED — BLOCKED</t>
        </is>
      </c>
      <c r="J62" s="31" t="inlineStr">
        <is>
          <t>Scheduled/stipulated inputs</t>
        </is>
      </c>
    </row>
    <row r="63" ht="24" customHeight="1">
      <c r="A63" s="31" t="inlineStr">
        <is>
          <t>M032</t>
        </is>
      </c>
      <c r="B63" s="31" t="n">
        <v>960</v>
      </c>
      <c r="C63" s="31" t="n">
        <v>120</v>
      </c>
      <c r="D63" s="31" t="inlineStr">
        <is>
          <t>U</t>
        </is>
      </c>
      <c r="E63" s="31" t="n">
        <v>0.35</v>
      </c>
      <c r="F63" s="31" t="inlineStr">
        <is>
          <t>Arterial</t>
        </is>
      </c>
      <c r="G63" s="31" t="inlineStr">
        <is>
          <t>TEST</t>
        </is>
      </c>
      <c r="H63" s="31" t="n">
        <v>5</v>
      </c>
      <c r="I63" s="31" t="inlineStr">
        <is>
          <t>TO BE GENERATED — BLOCKED</t>
        </is>
      </c>
      <c r="J63" s="31" t="inlineStr">
        <is>
          <t>Scheduled/stipulated inputs</t>
        </is>
      </c>
    </row>
    <row r="64" ht="24" customHeight="1">
      <c r="A64" s="31" t="inlineStr">
        <is>
          <t>M033</t>
        </is>
      </c>
      <c r="B64" s="31" t="n">
        <v>960</v>
      </c>
      <c r="C64" s="31" t="n">
        <v>120</v>
      </c>
      <c r="D64" s="31" t="inlineStr">
        <is>
          <t>U</t>
        </is>
      </c>
      <c r="E64" s="31" t="n">
        <v>0.65</v>
      </c>
      <c r="F64" s="31" t="inlineStr">
        <is>
          <t>Balanced</t>
        </is>
      </c>
      <c r="G64" s="31" t="inlineStr">
        <is>
          <t>VALIDATION</t>
        </is>
      </c>
      <c r="H64" s="31" t="n">
        <v>5</v>
      </c>
      <c r="I64" s="31" t="inlineStr">
        <is>
          <t>TO BE GENERATED — BLOCKED</t>
        </is>
      </c>
      <c r="J64" s="31" t="inlineStr">
        <is>
          <t>Scheduled/stipulated inputs</t>
        </is>
      </c>
    </row>
    <row r="65" ht="24" customHeight="1">
      <c r="A65" s="31" t="inlineStr">
        <is>
          <t>M034</t>
        </is>
      </c>
      <c r="B65" s="31" t="n">
        <v>960</v>
      </c>
      <c r="C65" s="31" t="n">
        <v>120</v>
      </c>
      <c r="D65" s="31" t="inlineStr">
        <is>
          <t>U</t>
        </is>
      </c>
      <c r="E65" s="31" t="n">
        <v>0.65</v>
      </c>
      <c r="F65" s="31" t="inlineStr">
        <is>
          <t>Arterial</t>
        </is>
      </c>
      <c r="G65" s="31" t="inlineStr">
        <is>
          <t>TRAIN</t>
        </is>
      </c>
      <c r="H65" s="31" t="n">
        <v>5</v>
      </c>
      <c r="I65" s="31" t="inlineStr">
        <is>
          <t>TO BE GENERATED — BLOCKED</t>
        </is>
      </c>
      <c r="J65" s="31" t="inlineStr">
        <is>
          <t>Scheduled/stipulated inputs</t>
        </is>
      </c>
    </row>
    <row r="66" ht="24" customHeight="1">
      <c r="A66" s="31" t="inlineStr">
        <is>
          <t>M035</t>
        </is>
      </c>
      <c r="B66" s="31" t="n">
        <v>960</v>
      </c>
      <c r="C66" s="31" t="n">
        <v>120</v>
      </c>
      <c r="D66" s="31" t="inlineStr">
        <is>
          <t>C</t>
        </is>
      </c>
      <c r="E66" s="31" t="n">
        <v>0.35</v>
      </c>
      <c r="F66" s="31" t="inlineStr">
        <is>
          <t>Balanced</t>
        </is>
      </c>
      <c r="G66" s="31" t="inlineStr">
        <is>
          <t>TEST</t>
        </is>
      </c>
      <c r="H66" s="31" t="n">
        <v>5</v>
      </c>
      <c r="I66" s="31" t="inlineStr">
        <is>
          <t>TO BE GENERATED — BLOCKED</t>
        </is>
      </c>
      <c r="J66" s="31" t="inlineStr">
        <is>
          <t>Scheduled/stipulated inputs</t>
        </is>
      </c>
    </row>
    <row r="67" ht="24" customHeight="1">
      <c r="A67" s="31" t="inlineStr">
        <is>
          <t>M036</t>
        </is>
      </c>
      <c r="B67" s="31" t="n">
        <v>960</v>
      </c>
      <c r="C67" s="31" t="n">
        <v>120</v>
      </c>
      <c r="D67" s="31" t="inlineStr">
        <is>
          <t>C</t>
        </is>
      </c>
      <c r="E67" s="31" t="n">
        <v>0.35</v>
      </c>
      <c r="F67" s="31" t="inlineStr">
        <is>
          <t>Arterial</t>
        </is>
      </c>
      <c r="G67" s="31" t="inlineStr">
        <is>
          <t>TRAIN</t>
        </is>
      </c>
      <c r="H67" s="31" t="n">
        <v>5</v>
      </c>
      <c r="I67" s="31" t="inlineStr">
        <is>
          <t>TO BE GENERATED — BLOCKED</t>
        </is>
      </c>
      <c r="J67" s="31" t="inlineStr">
        <is>
          <t>Scheduled/stipulated inputs</t>
        </is>
      </c>
    </row>
    <row r="68" ht="24" customHeight="1">
      <c r="A68" s="31" t="inlineStr">
        <is>
          <t>M037</t>
        </is>
      </c>
      <c r="B68" s="31" t="n">
        <v>960</v>
      </c>
      <c r="C68" s="31" t="n">
        <v>120</v>
      </c>
      <c r="D68" s="31" t="inlineStr">
        <is>
          <t>C</t>
        </is>
      </c>
      <c r="E68" s="31" t="n">
        <v>0.65</v>
      </c>
      <c r="F68" s="31" t="inlineStr">
        <is>
          <t>Balanced</t>
        </is>
      </c>
      <c r="G68" s="31" t="inlineStr">
        <is>
          <t>TRAIN</t>
        </is>
      </c>
      <c r="H68" s="31" t="n">
        <v>5</v>
      </c>
      <c r="I68" s="31" t="inlineStr">
        <is>
          <t>TO BE GENERATED — BLOCKED</t>
        </is>
      </c>
      <c r="J68" s="31" t="inlineStr">
        <is>
          <t>Scheduled/stipulated inputs</t>
        </is>
      </c>
    </row>
    <row r="69" ht="24" customHeight="1">
      <c r="A69" s="31" t="inlineStr">
        <is>
          <t>M038</t>
        </is>
      </c>
      <c r="B69" s="31" t="n">
        <v>960</v>
      </c>
      <c r="C69" s="31" t="n">
        <v>120</v>
      </c>
      <c r="D69" s="31" t="inlineStr">
        <is>
          <t>C</t>
        </is>
      </c>
      <c r="E69" s="31" t="n">
        <v>0.65</v>
      </c>
      <c r="F69" s="31" t="inlineStr">
        <is>
          <t>Arterial</t>
        </is>
      </c>
      <c r="G69" s="31" t="inlineStr">
        <is>
          <t>TRAIN</t>
        </is>
      </c>
      <c r="H69" s="31" t="n">
        <v>5</v>
      </c>
      <c r="I69" s="31" t="inlineStr">
        <is>
          <t>TO BE GENERATED — BLOCKED</t>
        </is>
      </c>
      <c r="J69" s="31" t="inlineStr">
        <is>
          <t>Scheduled/stipulated inputs</t>
        </is>
      </c>
    </row>
    <row r="70" ht="24" customHeight="1">
      <c r="A70" s="31" t="inlineStr">
        <is>
          <t>M039</t>
        </is>
      </c>
      <c r="B70" s="31" t="n">
        <v>960</v>
      </c>
      <c r="C70" s="31" t="n">
        <v>120</v>
      </c>
      <c r="D70" s="31" t="inlineStr">
        <is>
          <t>L</t>
        </is>
      </c>
      <c r="E70" s="31" t="n">
        <v>0.35</v>
      </c>
      <c r="F70" s="31" t="inlineStr">
        <is>
          <t>Balanced</t>
        </is>
      </c>
      <c r="G70" s="31" t="inlineStr">
        <is>
          <t>TRAIN</t>
        </is>
      </c>
      <c r="H70" s="31" t="n">
        <v>5</v>
      </c>
      <c r="I70" s="31" t="inlineStr">
        <is>
          <t>TO BE GENERATED — BLOCKED</t>
        </is>
      </c>
      <c r="J70" s="31" t="inlineStr">
        <is>
          <t>Scheduled/stipulated inputs</t>
        </is>
      </c>
    </row>
    <row r="71" ht="24" customHeight="1">
      <c r="A71" s="31" t="inlineStr">
        <is>
          <t>M040</t>
        </is>
      </c>
      <c r="B71" s="31" t="n">
        <v>960</v>
      </c>
      <c r="C71" s="31" t="n">
        <v>120</v>
      </c>
      <c r="D71" s="31" t="inlineStr">
        <is>
          <t>L</t>
        </is>
      </c>
      <c r="E71" s="31" t="n">
        <v>0.35</v>
      </c>
      <c r="F71" s="31" t="inlineStr">
        <is>
          <t>Arterial</t>
        </is>
      </c>
      <c r="G71" s="31" t="inlineStr">
        <is>
          <t>VALIDATION</t>
        </is>
      </c>
      <c r="H71" s="31" t="n">
        <v>5</v>
      </c>
      <c r="I71" s="31" t="inlineStr">
        <is>
          <t>TO BE GENERATED — BLOCKED</t>
        </is>
      </c>
      <c r="J71" s="31" t="inlineStr">
        <is>
          <t>Scheduled/stipulated inputs</t>
        </is>
      </c>
    </row>
    <row r="72" ht="24" customHeight="1">
      <c r="A72" s="31" t="inlineStr">
        <is>
          <t>M041</t>
        </is>
      </c>
      <c r="B72" s="31" t="n">
        <v>960</v>
      </c>
      <c r="C72" s="31" t="n">
        <v>120</v>
      </c>
      <c r="D72" s="31" t="inlineStr">
        <is>
          <t>L</t>
        </is>
      </c>
      <c r="E72" s="31" t="n">
        <v>0.65</v>
      </c>
      <c r="F72" s="31" t="inlineStr">
        <is>
          <t>Balanced</t>
        </is>
      </c>
      <c r="G72" s="31" t="inlineStr">
        <is>
          <t>TRAIN</t>
        </is>
      </c>
      <c r="H72" s="31" t="n">
        <v>5</v>
      </c>
      <c r="I72" s="31" t="inlineStr">
        <is>
          <t>TO BE GENERATED — BLOCKED</t>
        </is>
      </c>
      <c r="J72" s="31" t="inlineStr">
        <is>
          <t>Scheduled/stipulated inputs</t>
        </is>
      </c>
    </row>
    <row r="73" ht="24" customHeight="1">
      <c r="A73" s="31" t="inlineStr">
        <is>
          <t>M042</t>
        </is>
      </c>
      <c r="B73" s="31" t="n">
        <v>960</v>
      </c>
      <c r="C73" s="31" t="n">
        <v>120</v>
      </c>
      <c r="D73" s="31" t="inlineStr">
        <is>
          <t>L</t>
        </is>
      </c>
      <c r="E73" s="31" t="n">
        <v>0.65</v>
      </c>
      <c r="F73" s="31" t="inlineStr">
        <is>
          <t>Arterial</t>
        </is>
      </c>
      <c r="G73" s="31" t="inlineStr">
        <is>
          <t>TEST</t>
        </is>
      </c>
      <c r="H73" s="31" t="n">
        <v>5</v>
      </c>
      <c r="I73" s="31" t="inlineStr">
        <is>
          <t>TO BE GENERATED — BLOCKED</t>
        </is>
      </c>
      <c r="J73" s="31" t="inlineStr">
        <is>
          <t>Scheduled/stipulated inputs</t>
        </is>
      </c>
    </row>
    <row r="74" ht="24" customHeight="1">
      <c r="A74" s="31" t="inlineStr">
        <is>
          <t>M043</t>
        </is>
      </c>
      <c r="B74" s="31" t="n">
        <v>960</v>
      </c>
      <c r="C74" s="31" t="n">
        <v>280</v>
      </c>
      <c r="D74" s="31" t="inlineStr">
        <is>
          <t>None</t>
        </is>
      </c>
      <c r="E74" s="31" t="n">
        <v>1</v>
      </c>
      <c r="F74" s="31" t="inlineStr">
        <is>
          <t>Balanced</t>
        </is>
      </c>
      <c r="G74" s="31" t="inlineStr">
        <is>
          <t>TRAIN</t>
        </is>
      </c>
      <c r="H74" s="31" t="n">
        <v>5</v>
      </c>
      <c r="I74" s="31" t="inlineStr">
        <is>
          <t>TO BE GENERATED — BLOCKED</t>
        </is>
      </c>
      <c r="J74" s="31" t="inlineStr">
        <is>
          <t>Scheduled/stipulated inputs</t>
        </is>
      </c>
    </row>
    <row r="75" ht="24" customHeight="1">
      <c r="A75" s="31" t="inlineStr">
        <is>
          <t>M044</t>
        </is>
      </c>
      <c r="B75" s="31" t="n">
        <v>960</v>
      </c>
      <c r="C75" s="31" t="n">
        <v>280</v>
      </c>
      <c r="D75" s="31" t="inlineStr">
        <is>
          <t>None</t>
        </is>
      </c>
      <c r="E75" s="31" t="n">
        <v>1</v>
      </c>
      <c r="F75" s="31" t="inlineStr">
        <is>
          <t>Arterial</t>
        </is>
      </c>
      <c r="G75" s="31" t="inlineStr">
        <is>
          <t>TEST</t>
        </is>
      </c>
      <c r="H75" s="31" t="n">
        <v>5</v>
      </c>
      <c r="I75" s="31" t="inlineStr">
        <is>
          <t>TO BE GENERATED — BLOCKED</t>
        </is>
      </c>
      <c r="J75" s="31" t="inlineStr">
        <is>
          <t>Scheduled/stipulated inputs</t>
        </is>
      </c>
    </row>
    <row r="76" ht="24" customHeight="1">
      <c r="A76" s="31" t="inlineStr">
        <is>
          <t>M045</t>
        </is>
      </c>
      <c r="B76" s="31" t="n">
        <v>960</v>
      </c>
      <c r="C76" s="31" t="n">
        <v>280</v>
      </c>
      <c r="D76" s="31" t="inlineStr">
        <is>
          <t>U</t>
        </is>
      </c>
      <c r="E76" s="31" t="n">
        <v>0.35</v>
      </c>
      <c r="F76" s="31" t="inlineStr">
        <is>
          <t>Balanced</t>
        </is>
      </c>
      <c r="G76" s="31" t="inlineStr">
        <is>
          <t>VALIDATION</t>
        </is>
      </c>
      <c r="H76" s="31" t="n">
        <v>5</v>
      </c>
      <c r="I76" s="31" t="inlineStr">
        <is>
          <t>TO BE GENERATED — BLOCKED</t>
        </is>
      </c>
      <c r="J76" s="31" t="inlineStr">
        <is>
          <t>Scheduled/stipulated inputs</t>
        </is>
      </c>
    </row>
    <row r="77" ht="24" customHeight="1">
      <c r="A77" s="31" t="inlineStr">
        <is>
          <t>M046</t>
        </is>
      </c>
      <c r="B77" s="31" t="n">
        <v>960</v>
      </c>
      <c r="C77" s="31" t="n">
        <v>280</v>
      </c>
      <c r="D77" s="31" t="inlineStr">
        <is>
          <t>U</t>
        </is>
      </c>
      <c r="E77" s="31" t="n">
        <v>0.35</v>
      </c>
      <c r="F77" s="31" t="inlineStr">
        <is>
          <t>Arterial</t>
        </is>
      </c>
      <c r="G77" s="31" t="inlineStr">
        <is>
          <t>TRAIN</t>
        </is>
      </c>
      <c r="H77" s="31" t="n">
        <v>5</v>
      </c>
      <c r="I77" s="31" t="inlineStr">
        <is>
          <t>TO BE GENERATED — BLOCKED</t>
        </is>
      </c>
      <c r="J77" s="31" t="inlineStr">
        <is>
          <t>Scheduled/stipulated inputs</t>
        </is>
      </c>
    </row>
    <row r="78" ht="24" customHeight="1">
      <c r="A78" s="31" t="inlineStr">
        <is>
          <t>M047</t>
        </is>
      </c>
      <c r="B78" s="31" t="n">
        <v>960</v>
      </c>
      <c r="C78" s="31" t="n">
        <v>280</v>
      </c>
      <c r="D78" s="31" t="inlineStr">
        <is>
          <t>U</t>
        </is>
      </c>
      <c r="E78" s="31" t="n">
        <v>0.65</v>
      </c>
      <c r="F78" s="31" t="inlineStr">
        <is>
          <t>Balanced</t>
        </is>
      </c>
      <c r="G78" s="31" t="inlineStr">
        <is>
          <t>TEST</t>
        </is>
      </c>
      <c r="H78" s="31" t="n">
        <v>5</v>
      </c>
      <c r="I78" s="31" t="inlineStr">
        <is>
          <t>TO BE GENERATED — BLOCKED</t>
        </is>
      </c>
      <c r="J78" s="31" t="inlineStr">
        <is>
          <t>Scheduled/stipulated inputs</t>
        </is>
      </c>
    </row>
    <row r="79" ht="24" customHeight="1">
      <c r="A79" s="31" t="inlineStr">
        <is>
          <t>M048</t>
        </is>
      </c>
      <c r="B79" s="31" t="n">
        <v>960</v>
      </c>
      <c r="C79" s="31" t="n">
        <v>280</v>
      </c>
      <c r="D79" s="31" t="inlineStr">
        <is>
          <t>U</t>
        </is>
      </c>
      <c r="E79" s="31" t="n">
        <v>0.65</v>
      </c>
      <c r="F79" s="31" t="inlineStr">
        <is>
          <t>Arterial</t>
        </is>
      </c>
      <c r="G79" s="31" t="inlineStr">
        <is>
          <t>TRAIN</t>
        </is>
      </c>
      <c r="H79" s="31" t="n">
        <v>5</v>
      </c>
      <c r="I79" s="31" t="inlineStr">
        <is>
          <t>TO BE GENERATED — BLOCKED</t>
        </is>
      </c>
      <c r="J79" s="31" t="inlineStr">
        <is>
          <t>Scheduled/stipulated inputs</t>
        </is>
      </c>
    </row>
    <row r="80" ht="24" customHeight="1">
      <c r="A80" s="31" t="inlineStr">
        <is>
          <t>M049</t>
        </is>
      </c>
      <c r="B80" s="31" t="n">
        <v>960</v>
      </c>
      <c r="C80" s="31" t="n">
        <v>280</v>
      </c>
      <c r="D80" s="31" t="inlineStr">
        <is>
          <t>C</t>
        </is>
      </c>
      <c r="E80" s="31" t="n">
        <v>0.35</v>
      </c>
      <c r="F80" s="31" t="inlineStr">
        <is>
          <t>Balanced</t>
        </is>
      </c>
      <c r="G80" s="31" t="inlineStr">
        <is>
          <t>TRAIN</t>
        </is>
      </c>
      <c r="H80" s="31" t="n">
        <v>5</v>
      </c>
      <c r="I80" s="31" t="inlineStr">
        <is>
          <t>TO BE GENERATED — BLOCKED</t>
        </is>
      </c>
      <c r="J80" s="31" t="inlineStr">
        <is>
          <t>Scheduled/stipulated inputs</t>
        </is>
      </c>
    </row>
    <row r="81" ht="24" customHeight="1">
      <c r="A81" s="31" t="inlineStr">
        <is>
          <t>M050</t>
        </is>
      </c>
      <c r="B81" s="31" t="n">
        <v>960</v>
      </c>
      <c r="C81" s="31" t="n">
        <v>280</v>
      </c>
      <c r="D81" s="31" t="inlineStr">
        <is>
          <t>C</t>
        </is>
      </c>
      <c r="E81" s="31" t="n">
        <v>0.35</v>
      </c>
      <c r="F81" s="31" t="inlineStr">
        <is>
          <t>Arterial</t>
        </is>
      </c>
      <c r="G81" s="31" t="inlineStr">
        <is>
          <t>TRAIN</t>
        </is>
      </c>
      <c r="H81" s="31" t="n">
        <v>5</v>
      </c>
      <c r="I81" s="31" t="inlineStr">
        <is>
          <t>TO BE GENERATED — BLOCKED</t>
        </is>
      </c>
      <c r="J81" s="31" t="inlineStr">
        <is>
          <t>Scheduled/stipulated inputs</t>
        </is>
      </c>
    </row>
    <row r="82" ht="24" customHeight="1">
      <c r="A82" s="31" t="inlineStr">
        <is>
          <t>M051</t>
        </is>
      </c>
      <c r="B82" s="31" t="n">
        <v>960</v>
      </c>
      <c r="C82" s="31" t="n">
        <v>280</v>
      </c>
      <c r="D82" s="31" t="inlineStr">
        <is>
          <t>C</t>
        </is>
      </c>
      <c r="E82" s="31" t="n">
        <v>0.65</v>
      </c>
      <c r="F82" s="31" t="inlineStr">
        <is>
          <t>Balanced</t>
        </is>
      </c>
      <c r="G82" s="31" t="inlineStr">
        <is>
          <t>TRAIN</t>
        </is>
      </c>
      <c r="H82" s="31" t="n">
        <v>5</v>
      </c>
      <c r="I82" s="31" t="inlineStr">
        <is>
          <t>TO BE GENERATED — BLOCKED</t>
        </is>
      </c>
      <c r="J82" s="31" t="inlineStr">
        <is>
          <t>Scheduled/stipulated inputs</t>
        </is>
      </c>
    </row>
    <row r="83" ht="24" customHeight="1">
      <c r="A83" s="31" t="inlineStr">
        <is>
          <t>M052</t>
        </is>
      </c>
      <c r="B83" s="31" t="n">
        <v>960</v>
      </c>
      <c r="C83" s="31" t="n">
        <v>280</v>
      </c>
      <c r="D83" s="31" t="inlineStr">
        <is>
          <t>C</t>
        </is>
      </c>
      <c r="E83" s="31" t="n">
        <v>0.65</v>
      </c>
      <c r="F83" s="31" t="inlineStr">
        <is>
          <t>Arterial</t>
        </is>
      </c>
      <c r="G83" s="31" t="inlineStr">
        <is>
          <t>VALIDATION</t>
        </is>
      </c>
      <c r="H83" s="31" t="n">
        <v>5</v>
      </c>
      <c r="I83" s="31" t="inlineStr">
        <is>
          <t>TO BE GENERATED — BLOCKED</t>
        </is>
      </c>
      <c r="J83" s="31" t="inlineStr">
        <is>
          <t>Scheduled/stipulated inputs</t>
        </is>
      </c>
    </row>
    <row r="84" ht="24" customHeight="1">
      <c r="A84" s="31" t="inlineStr">
        <is>
          <t>M053</t>
        </is>
      </c>
      <c r="B84" s="31" t="n">
        <v>960</v>
      </c>
      <c r="C84" s="31" t="n">
        <v>280</v>
      </c>
      <c r="D84" s="31" t="inlineStr">
        <is>
          <t>L</t>
        </is>
      </c>
      <c r="E84" s="31" t="n">
        <v>0.35</v>
      </c>
      <c r="F84" s="31" t="inlineStr">
        <is>
          <t>Balanced</t>
        </is>
      </c>
      <c r="G84" s="31" t="inlineStr">
        <is>
          <t>TRAIN</t>
        </is>
      </c>
      <c r="H84" s="31" t="n">
        <v>5</v>
      </c>
      <c r="I84" s="31" t="inlineStr">
        <is>
          <t>TO BE GENERATED — BLOCKED</t>
        </is>
      </c>
      <c r="J84" s="31" t="inlineStr">
        <is>
          <t>Scheduled/stipulated inputs</t>
        </is>
      </c>
    </row>
    <row r="85" ht="24" customHeight="1">
      <c r="A85" s="31" t="inlineStr">
        <is>
          <t>M054</t>
        </is>
      </c>
      <c r="B85" s="31" t="n">
        <v>960</v>
      </c>
      <c r="C85" s="31" t="n">
        <v>280</v>
      </c>
      <c r="D85" s="31" t="inlineStr">
        <is>
          <t>L</t>
        </is>
      </c>
      <c r="E85" s="31" t="n">
        <v>0.35</v>
      </c>
      <c r="F85" s="31" t="inlineStr">
        <is>
          <t>Arterial</t>
        </is>
      </c>
      <c r="G85" s="31" t="inlineStr">
        <is>
          <t>TEST</t>
        </is>
      </c>
      <c r="H85" s="31" t="n">
        <v>5</v>
      </c>
      <c r="I85" s="31" t="inlineStr">
        <is>
          <t>TO BE GENERATED — BLOCKED</t>
        </is>
      </c>
      <c r="J85" s="31" t="inlineStr">
        <is>
          <t>Scheduled/stipulated inputs</t>
        </is>
      </c>
    </row>
    <row r="86" ht="24" customHeight="1">
      <c r="A86" s="31" t="inlineStr">
        <is>
          <t>M055</t>
        </is>
      </c>
      <c r="B86" s="31" t="n">
        <v>960</v>
      </c>
      <c r="C86" s="31" t="n">
        <v>280</v>
      </c>
      <c r="D86" s="31" t="inlineStr">
        <is>
          <t>L</t>
        </is>
      </c>
      <c r="E86" s="31" t="n">
        <v>0.65</v>
      </c>
      <c r="F86" s="31" t="inlineStr">
        <is>
          <t>Balanced</t>
        </is>
      </c>
      <c r="G86" s="31" t="inlineStr">
        <is>
          <t>VALIDATION</t>
        </is>
      </c>
      <c r="H86" s="31" t="n">
        <v>5</v>
      </c>
      <c r="I86" s="31" t="inlineStr">
        <is>
          <t>TO BE GENERATED — BLOCKED</t>
        </is>
      </c>
      <c r="J86" s="31" t="inlineStr">
        <is>
          <t>Scheduled/stipulated inputs</t>
        </is>
      </c>
    </row>
    <row r="87" ht="24" customHeight="1">
      <c r="A87" s="31" t="inlineStr">
        <is>
          <t>M056</t>
        </is>
      </c>
      <c r="B87" s="31" t="n">
        <v>960</v>
      </c>
      <c r="C87" s="31" t="n">
        <v>280</v>
      </c>
      <c r="D87" s="31" t="inlineStr">
        <is>
          <t>L</t>
        </is>
      </c>
      <c r="E87" s="31" t="n">
        <v>0.65</v>
      </c>
      <c r="F87" s="31" t="inlineStr">
        <is>
          <t>Arterial</t>
        </is>
      </c>
      <c r="G87" s="31" t="inlineStr">
        <is>
          <t>TRAIN</t>
        </is>
      </c>
      <c r="H87" s="31" t="n">
        <v>5</v>
      </c>
      <c r="I87" s="31" t="inlineStr">
        <is>
          <t>TO BE GENERATED — BLOCKED</t>
        </is>
      </c>
      <c r="J87" s="31" t="inlineStr">
        <is>
          <t>Scheduled/stipulated inputs</t>
        </is>
      </c>
    </row>
    <row r="88" ht="24" customHeight="1">
      <c r="A88" s="31" t="inlineStr">
        <is>
          <t>M057</t>
        </is>
      </c>
      <c r="B88" s="31" t="n">
        <v>1200</v>
      </c>
      <c r="C88" s="31" t="n">
        <v>120</v>
      </c>
      <c r="D88" s="31" t="inlineStr">
        <is>
          <t>None</t>
        </is>
      </c>
      <c r="E88" s="31" t="n">
        <v>1</v>
      </c>
      <c r="F88" s="31" t="inlineStr">
        <is>
          <t>Balanced</t>
        </is>
      </c>
      <c r="G88" s="31" t="inlineStr">
        <is>
          <t>TRAIN</t>
        </is>
      </c>
      <c r="H88" s="31" t="n">
        <v>5</v>
      </c>
      <c r="I88" s="31" t="inlineStr">
        <is>
          <t>TO BE GENERATED — BLOCKED</t>
        </is>
      </c>
      <c r="J88" s="31" t="inlineStr">
        <is>
          <t>Scheduled/stipulated inputs</t>
        </is>
      </c>
    </row>
    <row r="89" ht="24" customHeight="1">
      <c r="A89" s="31" t="inlineStr">
        <is>
          <t>M058</t>
        </is>
      </c>
      <c r="B89" s="31" t="n">
        <v>1200</v>
      </c>
      <c r="C89" s="31" t="n">
        <v>120</v>
      </c>
      <c r="D89" s="31" t="inlineStr">
        <is>
          <t>None</t>
        </is>
      </c>
      <c r="E89" s="31" t="n">
        <v>1</v>
      </c>
      <c r="F89" s="31" t="inlineStr">
        <is>
          <t>Arterial</t>
        </is>
      </c>
      <c r="G89" s="31" t="inlineStr">
        <is>
          <t>TEST</t>
        </is>
      </c>
      <c r="H89" s="31" t="n">
        <v>5</v>
      </c>
      <c r="I89" s="31" t="inlineStr">
        <is>
          <t>TO BE GENERATED — BLOCKED</t>
        </is>
      </c>
      <c r="J89" s="31" t="inlineStr">
        <is>
          <t>Scheduled/stipulated inputs</t>
        </is>
      </c>
    </row>
    <row r="90" ht="24" customHeight="1">
      <c r="A90" s="31" t="inlineStr">
        <is>
          <t>M059</t>
        </is>
      </c>
      <c r="B90" s="31" t="n">
        <v>1200</v>
      </c>
      <c r="C90" s="31" t="n">
        <v>120</v>
      </c>
      <c r="D90" s="31" t="inlineStr">
        <is>
          <t>U</t>
        </is>
      </c>
      <c r="E90" s="31" t="n">
        <v>0.35</v>
      </c>
      <c r="F90" s="31" t="inlineStr">
        <is>
          <t>Balanced</t>
        </is>
      </c>
      <c r="G90" s="31" t="inlineStr">
        <is>
          <t>VALIDATION</t>
        </is>
      </c>
      <c r="H90" s="31" t="n">
        <v>5</v>
      </c>
      <c r="I90" s="31" t="inlineStr">
        <is>
          <t>TO BE GENERATED — BLOCKED</t>
        </is>
      </c>
      <c r="J90" s="31" t="inlineStr">
        <is>
          <t>Scheduled/stipulated inputs</t>
        </is>
      </c>
    </row>
    <row r="91" ht="24" customHeight="1">
      <c r="A91" s="31" t="inlineStr">
        <is>
          <t>M060</t>
        </is>
      </c>
      <c r="B91" s="31" t="n">
        <v>1200</v>
      </c>
      <c r="C91" s="31" t="n">
        <v>120</v>
      </c>
      <c r="D91" s="31" t="inlineStr">
        <is>
          <t>U</t>
        </is>
      </c>
      <c r="E91" s="31" t="n">
        <v>0.35</v>
      </c>
      <c r="F91" s="31" t="inlineStr">
        <is>
          <t>Arterial</t>
        </is>
      </c>
      <c r="G91" s="31" t="inlineStr">
        <is>
          <t>TRAIN</t>
        </is>
      </c>
      <c r="H91" s="31" t="n">
        <v>5</v>
      </c>
      <c r="I91" s="31" t="inlineStr">
        <is>
          <t>TO BE GENERATED — BLOCKED</t>
        </is>
      </c>
      <c r="J91" s="31" t="inlineStr">
        <is>
          <t>Scheduled/stipulated inputs</t>
        </is>
      </c>
    </row>
    <row r="92" ht="24" customHeight="1">
      <c r="A92" s="31" t="inlineStr">
        <is>
          <t>M061</t>
        </is>
      </c>
      <c r="B92" s="31" t="n">
        <v>1200</v>
      </c>
      <c r="C92" s="31" t="n">
        <v>120</v>
      </c>
      <c r="D92" s="31" t="inlineStr">
        <is>
          <t>U</t>
        </is>
      </c>
      <c r="E92" s="31" t="n">
        <v>0.65</v>
      </c>
      <c r="F92" s="31" t="inlineStr">
        <is>
          <t>Balanced</t>
        </is>
      </c>
      <c r="G92" s="31" t="inlineStr">
        <is>
          <t>TEST</t>
        </is>
      </c>
      <c r="H92" s="31" t="n">
        <v>5</v>
      </c>
      <c r="I92" s="31" t="inlineStr">
        <is>
          <t>TO BE GENERATED — BLOCKED</t>
        </is>
      </c>
      <c r="J92" s="31" t="inlineStr">
        <is>
          <t>Scheduled/stipulated inputs</t>
        </is>
      </c>
    </row>
    <row r="93" ht="24" customHeight="1">
      <c r="A93" s="31" t="inlineStr">
        <is>
          <t>M062</t>
        </is>
      </c>
      <c r="B93" s="31" t="n">
        <v>1200</v>
      </c>
      <c r="C93" s="31" t="n">
        <v>120</v>
      </c>
      <c r="D93" s="31" t="inlineStr">
        <is>
          <t>U</t>
        </is>
      </c>
      <c r="E93" s="31" t="n">
        <v>0.65</v>
      </c>
      <c r="F93" s="31" t="inlineStr">
        <is>
          <t>Arterial</t>
        </is>
      </c>
      <c r="G93" s="31" t="inlineStr">
        <is>
          <t>TRAIN</t>
        </is>
      </c>
      <c r="H93" s="31" t="n">
        <v>5</v>
      </c>
      <c r="I93" s="31" t="inlineStr">
        <is>
          <t>TO BE GENERATED — BLOCKED</t>
        </is>
      </c>
      <c r="J93" s="31" t="inlineStr">
        <is>
          <t>Scheduled/stipulated inputs</t>
        </is>
      </c>
    </row>
    <row r="94" ht="24" customHeight="1">
      <c r="A94" s="31" t="inlineStr">
        <is>
          <t>M063</t>
        </is>
      </c>
      <c r="B94" s="31" t="n">
        <v>1200</v>
      </c>
      <c r="C94" s="31" t="n">
        <v>120</v>
      </c>
      <c r="D94" s="31" t="inlineStr">
        <is>
          <t>C</t>
        </is>
      </c>
      <c r="E94" s="31" t="n">
        <v>0.35</v>
      </c>
      <c r="F94" s="31" t="inlineStr">
        <is>
          <t>Balanced</t>
        </is>
      </c>
      <c r="G94" s="31" t="inlineStr">
        <is>
          <t>TRAIN</t>
        </is>
      </c>
      <c r="H94" s="31" t="n">
        <v>5</v>
      </c>
      <c r="I94" s="31" t="inlineStr">
        <is>
          <t>TO BE GENERATED — BLOCKED</t>
        </is>
      </c>
      <c r="J94" s="31" t="inlineStr">
        <is>
          <t>Scheduled/stipulated inputs</t>
        </is>
      </c>
    </row>
    <row r="95" ht="24" customHeight="1">
      <c r="A95" s="31" t="inlineStr">
        <is>
          <t>M064</t>
        </is>
      </c>
      <c r="B95" s="31" t="n">
        <v>1200</v>
      </c>
      <c r="C95" s="31" t="n">
        <v>120</v>
      </c>
      <c r="D95" s="31" t="inlineStr">
        <is>
          <t>C</t>
        </is>
      </c>
      <c r="E95" s="31" t="n">
        <v>0.35</v>
      </c>
      <c r="F95" s="31" t="inlineStr">
        <is>
          <t>Arterial</t>
        </is>
      </c>
      <c r="G95" s="31" t="inlineStr">
        <is>
          <t>TRAIN</t>
        </is>
      </c>
      <c r="H95" s="31" t="n">
        <v>5</v>
      </c>
      <c r="I95" s="31" t="inlineStr">
        <is>
          <t>TO BE GENERATED — BLOCKED</t>
        </is>
      </c>
      <c r="J95" s="31" t="inlineStr">
        <is>
          <t>Scheduled/stipulated inputs</t>
        </is>
      </c>
    </row>
    <row r="96" ht="24" customHeight="1">
      <c r="A96" s="31" t="inlineStr">
        <is>
          <t>M065</t>
        </is>
      </c>
      <c r="B96" s="31" t="n">
        <v>1200</v>
      </c>
      <c r="C96" s="31" t="n">
        <v>120</v>
      </c>
      <c r="D96" s="31" t="inlineStr">
        <is>
          <t>C</t>
        </is>
      </c>
      <c r="E96" s="31" t="n">
        <v>0.65</v>
      </c>
      <c r="F96" s="31" t="inlineStr">
        <is>
          <t>Balanced</t>
        </is>
      </c>
      <c r="G96" s="31" t="inlineStr">
        <is>
          <t>TRAIN</t>
        </is>
      </c>
      <c r="H96" s="31" t="n">
        <v>5</v>
      </c>
      <c r="I96" s="31" t="inlineStr">
        <is>
          <t>TO BE GENERATED — BLOCKED</t>
        </is>
      </c>
      <c r="J96" s="31" t="inlineStr">
        <is>
          <t>Scheduled/stipulated inputs</t>
        </is>
      </c>
    </row>
    <row r="97" ht="24" customHeight="1">
      <c r="A97" s="31" t="inlineStr">
        <is>
          <t>M066</t>
        </is>
      </c>
      <c r="B97" s="31" t="n">
        <v>1200</v>
      </c>
      <c r="C97" s="31" t="n">
        <v>120</v>
      </c>
      <c r="D97" s="31" t="inlineStr">
        <is>
          <t>C</t>
        </is>
      </c>
      <c r="E97" s="31" t="n">
        <v>0.65</v>
      </c>
      <c r="F97" s="31" t="inlineStr">
        <is>
          <t>Arterial</t>
        </is>
      </c>
      <c r="G97" s="31" t="inlineStr">
        <is>
          <t>VALIDATION</t>
        </is>
      </c>
      <c r="H97" s="31" t="n">
        <v>5</v>
      </c>
      <c r="I97" s="31" t="inlineStr">
        <is>
          <t>TO BE GENERATED — BLOCKED</t>
        </is>
      </c>
      <c r="J97" s="31" t="inlineStr">
        <is>
          <t>Scheduled/stipulated inputs</t>
        </is>
      </c>
    </row>
    <row r="98" ht="24" customHeight="1">
      <c r="A98" s="31" t="inlineStr">
        <is>
          <t>M067</t>
        </is>
      </c>
      <c r="B98" s="31" t="n">
        <v>1200</v>
      </c>
      <c r="C98" s="31" t="n">
        <v>120</v>
      </c>
      <c r="D98" s="31" t="inlineStr">
        <is>
          <t>L</t>
        </is>
      </c>
      <c r="E98" s="31" t="n">
        <v>0.35</v>
      </c>
      <c r="F98" s="31" t="inlineStr">
        <is>
          <t>Balanced</t>
        </is>
      </c>
      <c r="G98" s="31" t="inlineStr">
        <is>
          <t>TRAIN</t>
        </is>
      </c>
      <c r="H98" s="31" t="n">
        <v>5</v>
      </c>
      <c r="I98" s="31" t="inlineStr">
        <is>
          <t>TO BE GENERATED — BLOCKED</t>
        </is>
      </c>
      <c r="J98" s="31" t="inlineStr">
        <is>
          <t>Scheduled/stipulated inputs</t>
        </is>
      </c>
    </row>
    <row r="99" ht="24" customHeight="1">
      <c r="A99" s="31" t="inlineStr">
        <is>
          <t>M068</t>
        </is>
      </c>
      <c r="B99" s="31" t="n">
        <v>1200</v>
      </c>
      <c r="C99" s="31" t="n">
        <v>120</v>
      </c>
      <c r="D99" s="31" t="inlineStr">
        <is>
          <t>L</t>
        </is>
      </c>
      <c r="E99" s="31" t="n">
        <v>0.35</v>
      </c>
      <c r="F99" s="31" t="inlineStr">
        <is>
          <t>Arterial</t>
        </is>
      </c>
      <c r="G99" s="31" t="inlineStr">
        <is>
          <t>TEST</t>
        </is>
      </c>
      <c r="H99" s="31" t="n">
        <v>5</v>
      </c>
      <c r="I99" s="31" t="inlineStr">
        <is>
          <t>TO BE GENERATED — BLOCKED</t>
        </is>
      </c>
      <c r="J99" s="31" t="inlineStr">
        <is>
          <t>Scheduled/stipulated inputs</t>
        </is>
      </c>
    </row>
    <row r="100" ht="24" customHeight="1">
      <c r="A100" s="31" t="inlineStr">
        <is>
          <t>M069</t>
        </is>
      </c>
      <c r="B100" s="31" t="n">
        <v>1200</v>
      </c>
      <c r="C100" s="31" t="n">
        <v>120</v>
      </c>
      <c r="D100" s="31" t="inlineStr">
        <is>
          <t>L</t>
        </is>
      </c>
      <c r="E100" s="31" t="n">
        <v>0.65</v>
      </c>
      <c r="F100" s="31" t="inlineStr">
        <is>
          <t>Balanced</t>
        </is>
      </c>
      <c r="G100" s="31" t="inlineStr">
        <is>
          <t>VALIDATION</t>
        </is>
      </c>
      <c r="H100" s="31" t="n">
        <v>5</v>
      </c>
      <c r="I100" s="31" t="inlineStr">
        <is>
          <t>TO BE GENERATED — BLOCKED</t>
        </is>
      </c>
      <c r="J100" s="31" t="inlineStr">
        <is>
          <t>Scheduled/stipulated inputs</t>
        </is>
      </c>
    </row>
    <row r="101" ht="24" customHeight="1">
      <c r="A101" s="31" t="inlineStr">
        <is>
          <t>M070</t>
        </is>
      </c>
      <c r="B101" s="31" t="n">
        <v>1200</v>
      </c>
      <c r="C101" s="31" t="n">
        <v>120</v>
      </c>
      <c r="D101" s="31" t="inlineStr">
        <is>
          <t>L</t>
        </is>
      </c>
      <c r="E101" s="31" t="n">
        <v>0.65</v>
      </c>
      <c r="F101" s="31" t="inlineStr">
        <is>
          <t>Arterial</t>
        </is>
      </c>
      <c r="G101" s="31" t="inlineStr">
        <is>
          <t>TRAIN</t>
        </is>
      </c>
      <c r="H101" s="31" t="n">
        <v>5</v>
      </c>
      <c r="I101" s="31" t="inlineStr">
        <is>
          <t>TO BE GENERATED — BLOCKED</t>
        </is>
      </c>
      <c r="J101" s="31" t="inlineStr">
        <is>
          <t>Scheduled/stipulated inputs</t>
        </is>
      </c>
    </row>
    <row r="102" ht="24" customHeight="1">
      <c r="A102" s="31" t="inlineStr">
        <is>
          <t>M071</t>
        </is>
      </c>
      <c r="B102" s="31" t="n">
        <v>1200</v>
      </c>
      <c r="C102" s="31" t="n">
        <v>280</v>
      </c>
      <c r="D102" s="31" t="inlineStr">
        <is>
          <t>None</t>
        </is>
      </c>
      <c r="E102" s="31" t="n">
        <v>1</v>
      </c>
      <c r="F102" s="31" t="inlineStr">
        <is>
          <t>Balanced</t>
        </is>
      </c>
      <c r="G102" s="31" t="inlineStr">
        <is>
          <t>VALIDATION</t>
        </is>
      </c>
      <c r="H102" s="31" t="n">
        <v>5</v>
      </c>
      <c r="I102" s="31" t="inlineStr">
        <is>
          <t>TO BE GENERATED — BLOCKED</t>
        </is>
      </c>
      <c r="J102" s="31" t="inlineStr">
        <is>
          <t>Scheduled/stipulated inputs</t>
        </is>
      </c>
    </row>
    <row r="103" ht="24" customHeight="1">
      <c r="A103" s="31" t="inlineStr">
        <is>
          <t>M072</t>
        </is>
      </c>
      <c r="B103" s="31" t="n">
        <v>1200</v>
      </c>
      <c r="C103" s="31" t="n">
        <v>280</v>
      </c>
      <c r="D103" s="31" t="inlineStr">
        <is>
          <t>None</t>
        </is>
      </c>
      <c r="E103" s="31" t="n">
        <v>1</v>
      </c>
      <c r="F103" s="31" t="inlineStr">
        <is>
          <t>Arterial</t>
        </is>
      </c>
      <c r="G103" s="31" t="inlineStr">
        <is>
          <t>TRAIN</t>
        </is>
      </c>
      <c r="H103" s="31" t="n">
        <v>5</v>
      </c>
      <c r="I103" s="31" t="inlineStr">
        <is>
          <t>TO BE GENERATED — BLOCKED</t>
        </is>
      </c>
      <c r="J103" s="31" t="inlineStr">
        <is>
          <t>Scheduled/stipulated inputs</t>
        </is>
      </c>
    </row>
    <row r="104" ht="24" customHeight="1">
      <c r="A104" s="31" t="inlineStr">
        <is>
          <t>M073</t>
        </is>
      </c>
      <c r="B104" s="31" t="n">
        <v>1200</v>
      </c>
      <c r="C104" s="31" t="n">
        <v>280</v>
      </c>
      <c r="D104" s="31" t="inlineStr">
        <is>
          <t>U</t>
        </is>
      </c>
      <c r="E104" s="31" t="n">
        <v>0.35</v>
      </c>
      <c r="F104" s="31" t="inlineStr">
        <is>
          <t>Balanced</t>
        </is>
      </c>
      <c r="G104" s="31" t="inlineStr">
        <is>
          <t>TEST</t>
        </is>
      </c>
      <c r="H104" s="31" t="n">
        <v>5</v>
      </c>
      <c r="I104" s="31" t="inlineStr">
        <is>
          <t>TO BE GENERATED — BLOCKED</t>
        </is>
      </c>
      <c r="J104" s="31" t="inlineStr">
        <is>
          <t>Scheduled/stipulated inputs</t>
        </is>
      </c>
    </row>
    <row r="105" ht="24" customHeight="1">
      <c r="A105" s="31" t="inlineStr">
        <is>
          <t>M074</t>
        </is>
      </c>
      <c r="B105" s="31" t="n">
        <v>1200</v>
      </c>
      <c r="C105" s="31" t="n">
        <v>280</v>
      </c>
      <c r="D105" s="31" t="inlineStr">
        <is>
          <t>U</t>
        </is>
      </c>
      <c r="E105" s="31" t="n">
        <v>0.35</v>
      </c>
      <c r="F105" s="31" t="inlineStr">
        <is>
          <t>Arterial</t>
        </is>
      </c>
      <c r="G105" s="31" t="inlineStr">
        <is>
          <t>TRAIN</t>
        </is>
      </c>
      <c r="H105" s="31" t="n">
        <v>5</v>
      </c>
      <c r="I105" s="31" t="inlineStr">
        <is>
          <t>TO BE GENERATED — BLOCKED</t>
        </is>
      </c>
      <c r="J105" s="31" t="inlineStr">
        <is>
          <t>Scheduled/stipulated inputs</t>
        </is>
      </c>
    </row>
    <row r="106" ht="24" customHeight="1">
      <c r="A106" s="31" t="inlineStr">
        <is>
          <t>M075</t>
        </is>
      </c>
      <c r="B106" s="31" t="n">
        <v>1200</v>
      </c>
      <c r="C106" s="31" t="n">
        <v>280</v>
      </c>
      <c r="D106" s="31" t="inlineStr">
        <is>
          <t>U</t>
        </is>
      </c>
      <c r="E106" s="31" t="n">
        <v>0.65</v>
      </c>
      <c r="F106" s="31" t="inlineStr">
        <is>
          <t>Balanced</t>
        </is>
      </c>
      <c r="G106" s="31" t="inlineStr">
        <is>
          <t>TRAIN</t>
        </is>
      </c>
      <c r="H106" s="31" t="n">
        <v>5</v>
      </c>
      <c r="I106" s="31" t="inlineStr">
        <is>
          <t>TO BE GENERATED — BLOCKED</t>
        </is>
      </c>
      <c r="J106" s="31" t="inlineStr">
        <is>
          <t>Scheduled/stipulated inputs</t>
        </is>
      </c>
    </row>
    <row r="107" ht="24" customHeight="1">
      <c r="A107" s="31" t="inlineStr">
        <is>
          <t>M076</t>
        </is>
      </c>
      <c r="B107" s="31" t="n">
        <v>1200</v>
      </c>
      <c r="C107" s="31" t="n">
        <v>280</v>
      </c>
      <c r="D107" s="31" t="inlineStr">
        <is>
          <t>U</t>
        </is>
      </c>
      <c r="E107" s="31" t="n">
        <v>0.65</v>
      </c>
      <c r="F107" s="31" t="inlineStr">
        <is>
          <t>Arterial</t>
        </is>
      </c>
      <c r="G107" s="31" t="inlineStr">
        <is>
          <t>TRAIN</t>
        </is>
      </c>
      <c r="H107" s="31" t="n">
        <v>5</v>
      </c>
      <c r="I107" s="31" t="inlineStr">
        <is>
          <t>TO BE GENERATED — BLOCKED</t>
        </is>
      </c>
      <c r="J107" s="31" t="inlineStr">
        <is>
          <t>Scheduled/stipulated inputs</t>
        </is>
      </c>
    </row>
    <row r="108" ht="24" customHeight="1">
      <c r="A108" s="31" t="inlineStr">
        <is>
          <t>M077</t>
        </is>
      </c>
      <c r="B108" s="31" t="n">
        <v>1200</v>
      </c>
      <c r="C108" s="31" t="n">
        <v>280</v>
      </c>
      <c r="D108" s="31" t="inlineStr">
        <is>
          <t>C</t>
        </is>
      </c>
      <c r="E108" s="31" t="n">
        <v>0.35</v>
      </c>
      <c r="F108" s="31" t="inlineStr">
        <is>
          <t>Balanced</t>
        </is>
      </c>
      <c r="G108" s="31" t="inlineStr">
        <is>
          <t>TRAIN</t>
        </is>
      </c>
      <c r="H108" s="31" t="n">
        <v>5</v>
      </c>
      <c r="I108" s="31" t="inlineStr">
        <is>
          <t>TO BE GENERATED — BLOCKED</t>
        </is>
      </c>
      <c r="J108" s="31" t="inlineStr">
        <is>
          <t>Scheduled/stipulated inputs</t>
        </is>
      </c>
    </row>
    <row r="109" ht="24" customHeight="1">
      <c r="A109" s="31" t="inlineStr">
        <is>
          <t>M078</t>
        </is>
      </c>
      <c r="B109" s="31" t="n">
        <v>1200</v>
      </c>
      <c r="C109" s="31" t="n">
        <v>280</v>
      </c>
      <c r="D109" s="31" t="inlineStr">
        <is>
          <t>C</t>
        </is>
      </c>
      <c r="E109" s="31" t="n">
        <v>0.35</v>
      </c>
      <c r="F109" s="31" t="inlineStr">
        <is>
          <t>Arterial</t>
        </is>
      </c>
      <c r="G109" s="31" t="inlineStr">
        <is>
          <t>VALIDATION</t>
        </is>
      </c>
      <c r="H109" s="31" t="n">
        <v>5</v>
      </c>
      <c r="I109" s="31" t="inlineStr">
        <is>
          <t>TO BE GENERATED — BLOCKED</t>
        </is>
      </c>
      <c r="J109" s="31" t="inlineStr">
        <is>
          <t>Scheduled/stipulated inputs</t>
        </is>
      </c>
    </row>
    <row r="110" ht="24" customHeight="1">
      <c r="A110" s="31" t="inlineStr">
        <is>
          <t>M079</t>
        </is>
      </c>
      <c r="B110" s="31" t="n">
        <v>1200</v>
      </c>
      <c r="C110" s="31" t="n">
        <v>280</v>
      </c>
      <c r="D110" s="31" t="inlineStr">
        <is>
          <t>C</t>
        </is>
      </c>
      <c r="E110" s="31" t="n">
        <v>0.65</v>
      </c>
      <c r="F110" s="31" t="inlineStr">
        <is>
          <t>Balanced</t>
        </is>
      </c>
      <c r="G110" s="31" t="inlineStr">
        <is>
          <t>TRAIN</t>
        </is>
      </c>
      <c r="H110" s="31" t="n">
        <v>5</v>
      </c>
      <c r="I110" s="31" t="inlineStr">
        <is>
          <t>TO BE GENERATED — BLOCKED</t>
        </is>
      </c>
      <c r="J110" s="31" t="inlineStr">
        <is>
          <t>Scheduled/stipulated inputs</t>
        </is>
      </c>
    </row>
    <row r="111" ht="24" customHeight="1">
      <c r="A111" s="31" t="inlineStr">
        <is>
          <t>M080</t>
        </is>
      </c>
      <c r="B111" s="31" t="n">
        <v>1200</v>
      </c>
      <c r="C111" s="31" t="n">
        <v>280</v>
      </c>
      <c r="D111" s="31" t="inlineStr">
        <is>
          <t>C</t>
        </is>
      </c>
      <c r="E111" s="31" t="n">
        <v>0.65</v>
      </c>
      <c r="F111" s="31" t="inlineStr">
        <is>
          <t>Arterial</t>
        </is>
      </c>
      <c r="G111" s="31" t="inlineStr">
        <is>
          <t>TEST</t>
        </is>
      </c>
      <c r="H111" s="31" t="n">
        <v>5</v>
      </c>
      <c r="I111" s="31" t="inlineStr">
        <is>
          <t>TO BE GENERATED — BLOCKED</t>
        </is>
      </c>
      <c r="J111" s="31" t="inlineStr">
        <is>
          <t>Scheduled/stipulated inputs</t>
        </is>
      </c>
    </row>
    <row r="112" ht="24" customHeight="1">
      <c r="A112" s="31" t="inlineStr">
        <is>
          <t>M081</t>
        </is>
      </c>
      <c r="B112" s="31" t="n">
        <v>1200</v>
      </c>
      <c r="C112" s="31" t="n">
        <v>280</v>
      </c>
      <c r="D112" s="31" t="inlineStr">
        <is>
          <t>L</t>
        </is>
      </c>
      <c r="E112" s="31" t="n">
        <v>0.35</v>
      </c>
      <c r="F112" s="31" t="inlineStr">
        <is>
          <t>Balanced</t>
        </is>
      </c>
      <c r="G112" s="31" t="inlineStr">
        <is>
          <t>VALIDATION</t>
        </is>
      </c>
      <c r="H112" s="31" t="n">
        <v>5</v>
      </c>
      <c r="I112" s="31" t="inlineStr">
        <is>
          <t>TO BE GENERATED — BLOCKED</t>
        </is>
      </c>
      <c r="J112" s="31" t="inlineStr">
        <is>
          <t>Scheduled/stipulated inputs</t>
        </is>
      </c>
    </row>
    <row r="113" ht="24" customHeight="1">
      <c r="A113" s="31" t="inlineStr">
        <is>
          <t>M082</t>
        </is>
      </c>
      <c r="B113" s="31" t="n">
        <v>1200</v>
      </c>
      <c r="C113" s="31" t="n">
        <v>280</v>
      </c>
      <c r="D113" s="31" t="inlineStr">
        <is>
          <t>L</t>
        </is>
      </c>
      <c r="E113" s="31" t="n">
        <v>0.35</v>
      </c>
      <c r="F113" s="31" t="inlineStr">
        <is>
          <t>Arterial</t>
        </is>
      </c>
      <c r="G113" s="31" t="inlineStr">
        <is>
          <t>TRAIN</t>
        </is>
      </c>
      <c r="H113" s="31" t="n">
        <v>5</v>
      </c>
      <c r="I113" s="31" t="inlineStr">
        <is>
          <t>TO BE GENERATED — BLOCKED</t>
        </is>
      </c>
      <c r="J113" s="31" t="inlineStr">
        <is>
          <t>Scheduled/stipulated inputs</t>
        </is>
      </c>
    </row>
    <row r="114" ht="24" customHeight="1">
      <c r="A114" s="31" t="inlineStr">
        <is>
          <t>M083</t>
        </is>
      </c>
      <c r="B114" s="31" t="n">
        <v>1200</v>
      </c>
      <c r="C114" s="31" t="n">
        <v>280</v>
      </c>
      <c r="D114" s="31" t="inlineStr">
        <is>
          <t>L</t>
        </is>
      </c>
      <c r="E114" s="31" t="n">
        <v>0.65</v>
      </c>
      <c r="F114" s="31" t="inlineStr">
        <is>
          <t>Balanced</t>
        </is>
      </c>
      <c r="G114" s="31" t="inlineStr">
        <is>
          <t>TEST</t>
        </is>
      </c>
      <c r="H114" s="31" t="n">
        <v>5</v>
      </c>
      <c r="I114" s="31" t="inlineStr">
        <is>
          <t>TO BE GENERATED — BLOCKED</t>
        </is>
      </c>
      <c r="J114" s="31" t="inlineStr">
        <is>
          <t>Scheduled/stipulated inputs</t>
        </is>
      </c>
    </row>
    <row r="115" ht="24" customHeight="1">
      <c r="A115" s="31" t="inlineStr">
        <is>
          <t>M084</t>
        </is>
      </c>
      <c r="B115" s="31" t="n">
        <v>1200</v>
      </c>
      <c r="C115" s="31" t="n">
        <v>280</v>
      </c>
      <c r="D115" s="31" t="inlineStr">
        <is>
          <t>L</t>
        </is>
      </c>
      <c r="E115" s="31" t="n">
        <v>0.65</v>
      </c>
      <c r="F115" s="31" t="inlineStr">
        <is>
          <t>Arterial</t>
        </is>
      </c>
      <c r="G115" s="31" t="inlineStr">
        <is>
          <t>TRAIN</t>
        </is>
      </c>
      <c r="H115" s="31" t="n">
        <v>5</v>
      </c>
      <c r="I115" s="31" t="inlineStr">
        <is>
          <t>TO BE GENERATED — BLOCKED</t>
        </is>
      </c>
      <c r="J115" s="31" t="inlineStr">
        <is>
          <t>Scheduled/stipulated inputs</t>
        </is>
      </c>
    </row>
    <row r="116" ht="24" customHeight="1">
      <c r="A116" s="31" t="inlineStr">
        <is>
          <t>M085</t>
        </is>
      </c>
      <c r="B116" s="31" t="n">
        <v>1440</v>
      </c>
      <c r="C116" s="31" t="n">
        <v>120</v>
      </c>
      <c r="D116" s="31" t="inlineStr">
        <is>
          <t>None</t>
        </is>
      </c>
      <c r="E116" s="31" t="n">
        <v>1</v>
      </c>
      <c r="F116" s="31" t="inlineStr">
        <is>
          <t>Balanced</t>
        </is>
      </c>
      <c r="G116" s="31" t="inlineStr">
        <is>
          <t>VALIDATION</t>
        </is>
      </c>
      <c r="H116" s="31" t="n">
        <v>5</v>
      </c>
      <c r="I116" s="31" t="inlineStr">
        <is>
          <t>TO BE GENERATED — BLOCKED</t>
        </is>
      </c>
      <c r="J116" s="31" t="inlineStr">
        <is>
          <t>Scheduled/stipulated inputs</t>
        </is>
      </c>
    </row>
    <row r="117" ht="24" customHeight="1">
      <c r="A117" s="31" t="inlineStr">
        <is>
          <t>M086</t>
        </is>
      </c>
      <c r="B117" s="31" t="n">
        <v>1440</v>
      </c>
      <c r="C117" s="31" t="n">
        <v>120</v>
      </c>
      <c r="D117" s="31" t="inlineStr">
        <is>
          <t>None</t>
        </is>
      </c>
      <c r="E117" s="31" t="n">
        <v>1</v>
      </c>
      <c r="F117" s="31" t="inlineStr">
        <is>
          <t>Arterial</t>
        </is>
      </c>
      <c r="G117" s="31" t="inlineStr">
        <is>
          <t>TRAIN</t>
        </is>
      </c>
      <c r="H117" s="31" t="n">
        <v>5</v>
      </c>
      <c r="I117" s="31" t="inlineStr">
        <is>
          <t>TO BE GENERATED — BLOCKED</t>
        </is>
      </c>
      <c r="J117" s="31" t="inlineStr">
        <is>
          <t>Scheduled/stipulated inputs</t>
        </is>
      </c>
    </row>
    <row r="118" ht="24" customHeight="1">
      <c r="A118" s="31" t="inlineStr">
        <is>
          <t>M087</t>
        </is>
      </c>
      <c r="B118" s="31" t="n">
        <v>1440</v>
      </c>
      <c r="C118" s="31" t="n">
        <v>120</v>
      </c>
      <c r="D118" s="31" t="inlineStr">
        <is>
          <t>U</t>
        </is>
      </c>
      <c r="E118" s="31" t="n">
        <v>0.35</v>
      </c>
      <c r="F118" s="31" t="inlineStr">
        <is>
          <t>Balanced</t>
        </is>
      </c>
      <c r="G118" s="31" t="inlineStr">
        <is>
          <t>TEST</t>
        </is>
      </c>
      <c r="H118" s="31" t="n">
        <v>5</v>
      </c>
      <c r="I118" s="31" t="inlineStr">
        <is>
          <t>TO BE GENERATED — BLOCKED</t>
        </is>
      </c>
      <c r="J118" s="31" t="inlineStr">
        <is>
          <t>Scheduled/stipulated inputs</t>
        </is>
      </c>
    </row>
    <row r="119" ht="24" customHeight="1">
      <c r="A119" s="31" t="inlineStr">
        <is>
          <t>M088</t>
        </is>
      </c>
      <c r="B119" s="31" t="n">
        <v>1440</v>
      </c>
      <c r="C119" s="31" t="n">
        <v>120</v>
      </c>
      <c r="D119" s="31" t="inlineStr">
        <is>
          <t>U</t>
        </is>
      </c>
      <c r="E119" s="31" t="n">
        <v>0.35</v>
      </c>
      <c r="F119" s="31" t="inlineStr">
        <is>
          <t>Arterial</t>
        </is>
      </c>
      <c r="G119" s="31" t="inlineStr">
        <is>
          <t>TRAIN</t>
        </is>
      </c>
      <c r="H119" s="31" t="n">
        <v>5</v>
      </c>
      <c r="I119" s="31" t="inlineStr">
        <is>
          <t>TO BE GENERATED — BLOCKED</t>
        </is>
      </c>
      <c r="J119" s="31" t="inlineStr">
        <is>
          <t>Scheduled/stipulated inputs</t>
        </is>
      </c>
    </row>
    <row r="120" ht="24" customHeight="1">
      <c r="A120" s="31" t="inlineStr">
        <is>
          <t>M089</t>
        </is>
      </c>
      <c r="B120" s="31" t="n">
        <v>1440</v>
      </c>
      <c r="C120" s="31" t="n">
        <v>120</v>
      </c>
      <c r="D120" s="31" t="inlineStr">
        <is>
          <t>U</t>
        </is>
      </c>
      <c r="E120" s="31" t="n">
        <v>0.65</v>
      </c>
      <c r="F120" s="31" t="inlineStr">
        <is>
          <t>Balanced</t>
        </is>
      </c>
      <c r="G120" s="31" t="inlineStr">
        <is>
          <t>TRAIN</t>
        </is>
      </c>
      <c r="H120" s="31" t="n">
        <v>5</v>
      </c>
      <c r="I120" s="31" t="inlineStr">
        <is>
          <t>TO BE GENERATED — BLOCKED</t>
        </is>
      </c>
      <c r="J120" s="31" t="inlineStr">
        <is>
          <t>Scheduled/stipulated inputs</t>
        </is>
      </c>
    </row>
    <row r="121" ht="24" customHeight="1">
      <c r="A121" s="31" t="inlineStr">
        <is>
          <t>M090</t>
        </is>
      </c>
      <c r="B121" s="31" t="n">
        <v>1440</v>
      </c>
      <c r="C121" s="31" t="n">
        <v>120</v>
      </c>
      <c r="D121" s="31" t="inlineStr">
        <is>
          <t>U</t>
        </is>
      </c>
      <c r="E121" s="31" t="n">
        <v>0.65</v>
      </c>
      <c r="F121" s="31" t="inlineStr">
        <is>
          <t>Arterial</t>
        </is>
      </c>
      <c r="G121" s="31" t="inlineStr">
        <is>
          <t>TRAIN</t>
        </is>
      </c>
      <c r="H121" s="31" t="n">
        <v>5</v>
      </c>
      <c r="I121" s="31" t="inlineStr">
        <is>
          <t>TO BE GENERATED — BLOCKED</t>
        </is>
      </c>
      <c r="J121" s="31" t="inlineStr">
        <is>
          <t>Scheduled/stipulated inputs</t>
        </is>
      </c>
    </row>
    <row r="122" ht="24" customHeight="1">
      <c r="A122" s="31" t="inlineStr">
        <is>
          <t>M091</t>
        </is>
      </c>
      <c r="B122" s="31" t="n">
        <v>1440</v>
      </c>
      <c r="C122" s="31" t="n">
        <v>120</v>
      </c>
      <c r="D122" s="31" t="inlineStr">
        <is>
          <t>C</t>
        </is>
      </c>
      <c r="E122" s="31" t="n">
        <v>0.35</v>
      </c>
      <c r="F122" s="31" t="inlineStr">
        <is>
          <t>Balanced</t>
        </is>
      </c>
      <c r="G122" s="31" t="inlineStr">
        <is>
          <t>TRAIN</t>
        </is>
      </c>
      <c r="H122" s="31" t="n">
        <v>5</v>
      </c>
      <c r="I122" s="31" t="inlineStr">
        <is>
          <t>TO BE GENERATED — BLOCKED</t>
        </is>
      </c>
      <c r="J122" s="31" t="inlineStr">
        <is>
          <t>Scheduled/stipulated inputs</t>
        </is>
      </c>
    </row>
    <row r="123" ht="24" customHeight="1">
      <c r="A123" s="31" t="inlineStr">
        <is>
          <t>M092</t>
        </is>
      </c>
      <c r="B123" s="31" t="n">
        <v>1440</v>
      </c>
      <c r="C123" s="31" t="n">
        <v>120</v>
      </c>
      <c r="D123" s="31" t="inlineStr">
        <is>
          <t>C</t>
        </is>
      </c>
      <c r="E123" s="31" t="n">
        <v>0.35</v>
      </c>
      <c r="F123" s="31" t="inlineStr">
        <is>
          <t>Arterial</t>
        </is>
      </c>
      <c r="G123" s="31" t="inlineStr">
        <is>
          <t>VALIDATION</t>
        </is>
      </c>
      <c r="H123" s="31" t="n">
        <v>5</v>
      </c>
      <c r="I123" s="31" t="inlineStr">
        <is>
          <t>TO BE GENERATED — BLOCKED</t>
        </is>
      </c>
      <c r="J123" s="31" t="inlineStr">
        <is>
          <t>Scheduled/stipulated inputs</t>
        </is>
      </c>
    </row>
    <row r="124" ht="24" customHeight="1">
      <c r="A124" s="31" t="inlineStr">
        <is>
          <t>M093</t>
        </is>
      </c>
      <c r="B124" s="31" t="n">
        <v>1440</v>
      </c>
      <c r="C124" s="31" t="n">
        <v>120</v>
      </c>
      <c r="D124" s="31" t="inlineStr">
        <is>
          <t>C</t>
        </is>
      </c>
      <c r="E124" s="31" t="n">
        <v>0.65</v>
      </c>
      <c r="F124" s="31" t="inlineStr">
        <is>
          <t>Balanced</t>
        </is>
      </c>
      <c r="G124" s="31" t="inlineStr">
        <is>
          <t>TRAIN</t>
        </is>
      </c>
      <c r="H124" s="31" t="n">
        <v>5</v>
      </c>
      <c r="I124" s="31" t="inlineStr">
        <is>
          <t>TO BE GENERATED — BLOCKED</t>
        </is>
      </c>
      <c r="J124" s="31" t="inlineStr">
        <is>
          <t>Scheduled/stipulated inputs</t>
        </is>
      </c>
    </row>
    <row r="125" ht="24" customHeight="1">
      <c r="A125" s="31" t="inlineStr">
        <is>
          <t>M094</t>
        </is>
      </c>
      <c r="B125" s="31" t="n">
        <v>1440</v>
      </c>
      <c r="C125" s="31" t="n">
        <v>120</v>
      </c>
      <c r="D125" s="31" t="inlineStr">
        <is>
          <t>C</t>
        </is>
      </c>
      <c r="E125" s="31" t="n">
        <v>0.65</v>
      </c>
      <c r="F125" s="31" t="inlineStr">
        <is>
          <t>Arterial</t>
        </is>
      </c>
      <c r="G125" s="31" t="inlineStr">
        <is>
          <t>TEST</t>
        </is>
      </c>
      <c r="H125" s="31" t="n">
        <v>5</v>
      </c>
      <c r="I125" s="31" t="inlineStr">
        <is>
          <t>TO BE GENERATED — BLOCKED</t>
        </is>
      </c>
      <c r="J125" s="31" t="inlineStr">
        <is>
          <t>Scheduled/stipulated inputs</t>
        </is>
      </c>
    </row>
    <row r="126" ht="24" customHeight="1">
      <c r="A126" s="31" t="inlineStr">
        <is>
          <t>M095</t>
        </is>
      </c>
      <c r="B126" s="31" t="n">
        <v>1440</v>
      </c>
      <c r="C126" s="31" t="n">
        <v>120</v>
      </c>
      <c r="D126" s="31" t="inlineStr">
        <is>
          <t>L</t>
        </is>
      </c>
      <c r="E126" s="31" t="n">
        <v>0.35</v>
      </c>
      <c r="F126" s="31" t="inlineStr">
        <is>
          <t>Balanced</t>
        </is>
      </c>
      <c r="G126" s="31" t="inlineStr">
        <is>
          <t>VALIDATION</t>
        </is>
      </c>
      <c r="H126" s="31" t="n">
        <v>5</v>
      </c>
      <c r="I126" s="31" t="inlineStr">
        <is>
          <t>TO BE GENERATED — BLOCKED</t>
        </is>
      </c>
      <c r="J126" s="31" t="inlineStr">
        <is>
          <t>Scheduled/stipulated inputs</t>
        </is>
      </c>
    </row>
    <row r="127" ht="24" customHeight="1">
      <c r="A127" s="31" t="inlineStr">
        <is>
          <t>M096</t>
        </is>
      </c>
      <c r="B127" s="31" t="n">
        <v>1440</v>
      </c>
      <c r="C127" s="31" t="n">
        <v>120</v>
      </c>
      <c r="D127" s="31" t="inlineStr">
        <is>
          <t>L</t>
        </is>
      </c>
      <c r="E127" s="31" t="n">
        <v>0.35</v>
      </c>
      <c r="F127" s="31" t="inlineStr">
        <is>
          <t>Arterial</t>
        </is>
      </c>
      <c r="G127" s="31" t="inlineStr">
        <is>
          <t>TRAIN</t>
        </is>
      </c>
      <c r="H127" s="31" t="n">
        <v>5</v>
      </c>
      <c r="I127" s="31" t="inlineStr">
        <is>
          <t>TO BE GENERATED — BLOCKED</t>
        </is>
      </c>
      <c r="J127" s="31" t="inlineStr">
        <is>
          <t>Scheduled/stipulated inputs</t>
        </is>
      </c>
    </row>
    <row r="128" ht="24" customHeight="1">
      <c r="A128" s="31" t="inlineStr">
        <is>
          <t>M097</t>
        </is>
      </c>
      <c r="B128" s="31" t="n">
        <v>1440</v>
      </c>
      <c r="C128" s="31" t="n">
        <v>120</v>
      </c>
      <c r="D128" s="31" t="inlineStr">
        <is>
          <t>L</t>
        </is>
      </c>
      <c r="E128" s="31" t="n">
        <v>0.65</v>
      </c>
      <c r="F128" s="31" t="inlineStr">
        <is>
          <t>Balanced</t>
        </is>
      </c>
      <c r="G128" s="31" t="inlineStr">
        <is>
          <t>TEST</t>
        </is>
      </c>
      <c r="H128" s="31" t="n">
        <v>5</v>
      </c>
      <c r="I128" s="31" t="inlineStr">
        <is>
          <t>TO BE GENERATED — BLOCKED</t>
        </is>
      </c>
      <c r="J128" s="31" t="inlineStr">
        <is>
          <t>Scheduled/stipulated inputs</t>
        </is>
      </c>
    </row>
    <row r="129" ht="24" customHeight="1">
      <c r="A129" s="31" t="inlineStr">
        <is>
          <t>M098</t>
        </is>
      </c>
      <c r="B129" s="31" t="n">
        <v>1440</v>
      </c>
      <c r="C129" s="31" t="n">
        <v>120</v>
      </c>
      <c r="D129" s="31" t="inlineStr">
        <is>
          <t>L</t>
        </is>
      </c>
      <c r="E129" s="31" t="n">
        <v>0.65</v>
      </c>
      <c r="F129" s="31" t="inlineStr">
        <is>
          <t>Arterial</t>
        </is>
      </c>
      <c r="G129" s="31" t="inlineStr">
        <is>
          <t>TRAIN</t>
        </is>
      </c>
      <c r="H129" s="31" t="n">
        <v>5</v>
      </c>
      <c r="I129" s="31" t="inlineStr">
        <is>
          <t>TO BE GENERATED — BLOCKED</t>
        </is>
      </c>
      <c r="J129" s="31" t="inlineStr">
        <is>
          <t>Scheduled/stipulated inputs</t>
        </is>
      </c>
    </row>
    <row r="130" ht="24" customHeight="1">
      <c r="A130" s="31" t="inlineStr">
        <is>
          <t>M099</t>
        </is>
      </c>
      <c r="B130" s="31" t="n">
        <v>1440</v>
      </c>
      <c r="C130" s="31" t="n">
        <v>280</v>
      </c>
      <c r="D130" s="31" t="inlineStr">
        <is>
          <t>None</t>
        </is>
      </c>
      <c r="E130" s="31" t="n">
        <v>1</v>
      </c>
      <c r="F130" s="31" t="inlineStr">
        <is>
          <t>Balanced</t>
        </is>
      </c>
      <c r="G130" s="31" t="inlineStr">
        <is>
          <t>TEST</t>
        </is>
      </c>
      <c r="H130" s="31" t="n">
        <v>5</v>
      </c>
      <c r="I130" s="31" t="inlineStr">
        <is>
          <t>TO BE GENERATED — BLOCKED</t>
        </is>
      </c>
      <c r="J130" s="31" t="inlineStr">
        <is>
          <t>Scheduled/stipulated inputs</t>
        </is>
      </c>
    </row>
    <row r="131" ht="24" customHeight="1">
      <c r="A131" s="31" t="inlineStr">
        <is>
          <t>M100</t>
        </is>
      </c>
      <c r="B131" s="31" t="n">
        <v>1440</v>
      </c>
      <c r="C131" s="31" t="n">
        <v>280</v>
      </c>
      <c r="D131" s="31" t="inlineStr">
        <is>
          <t>None</t>
        </is>
      </c>
      <c r="E131" s="31" t="n">
        <v>1</v>
      </c>
      <c r="F131" s="31" t="inlineStr">
        <is>
          <t>Arterial</t>
        </is>
      </c>
      <c r="G131" s="31" t="inlineStr">
        <is>
          <t>TRAIN</t>
        </is>
      </c>
      <c r="H131" s="31" t="n">
        <v>5</v>
      </c>
      <c r="I131" s="31" t="inlineStr">
        <is>
          <t>TO BE GENERATED — BLOCKED</t>
        </is>
      </c>
      <c r="J131" s="31" t="inlineStr">
        <is>
          <t>Scheduled/stipulated inputs</t>
        </is>
      </c>
    </row>
    <row r="132" ht="24" customHeight="1">
      <c r="A132" s="31" t="inlineStr">
        <is>
          <t>M101</t>
        </is>
      </c>
      <c r="B132" s="31" t="n">
        <v>1440</v>
      </c>
      <c r="C132" s="31" t="n">
        <v>280</v>
      </c>
      <c r="D132" s="31" t="inlineStr">
        <is>
          <t>U</t>
        </is>
      </c>
      <c r="E132" s="31" t="n">
        <v>0.35</v>
      </c>
      <c r="F132" s="31" t="inlineStr">
        <is>
          <t>Balanced</t>
        </is>
      </c>
      <c r="G132" s="31" t="inlineStr">
        <is>
          <t>TRAIN</t>
        </is>
      </c>
      <c r="H132" s="31" t="n">
        <v>5</v>
      </c>
      <c r="I132" s="31" t="inlineStr">
        <is>
          <t>TO BE GENERATED — BLOCKED</t>
        </is>
      </c>
      <c r="J132" s="31" t="inlineStr">
        <is>
          <t>Scheduled/stipulated inputs</t>
        </is>
      </c>
    </row>
    <row r="133" ht="24" customHeight="1">
      <c r="A133" s="31" t="inlineStr">
        <is>
          <t>M102</t>
        </is>
      </c>
      <c r="B133" s="31" t="n">
        <v>1440</v>
      </c>
      <c r="C133" s="31" t="n">
        <v>280</v>
      </c>
      <c r="D133" s="31" t="inlineStr">
        <is>
          <t>U</t>
        </is>
      </c>
      <c r="E133" s="31" t="n">
        <v>0.35</v>
      </c>
      <c r="F133" s="31" t="inlineStr">
        <is>
          <t>Arterial</t>
        </is>
      </c>
      <c r="G133" s="31" t="inlineStr">
        <is>
          <t>TRAIN</t>
        </is>
      </c>
      <c r="H133" s="31" t="n">
        <v>5</v>
      </c>
      <c r="I133" s="31" t="inlineStr">
        <is>
          <t>TO BE GENERATED — BLOCKED</t>
        </is>
      </c>
      <c r="J133" s="31" t="inlineStr">
        <is>
          <t>Scheduled/stipulated inputs</t>
        </is>
      </c>
    </row>
    <row r="134" ht="24" customHeight="1">
      <c r="A134" s="31" t="inlineStr">
        <is>
          <t>M103</t>
        </is>
      </c>
      <c r="B134" s="31" t="n">
        <v>1440</v>
      </c>
      <c r="C134" s="31" t="n">
        <v>280</v>
      </c>
      <c r="D134" s="31" t="inlineStr">
        <is>
          <t>U</t>
        </is>
      </c>
      <c r="E134" s="31" t="n">
        <v>0.65</v>
      </c>
      <c r="F134" s="31" t="inlineStr">
        <is>
          <t>Balanced</t>
        </is>
      </c>
      <c r="G134" s="31" t="inlineStr">
        <is>
          <t>TRAIN</t>
        </is>
      </c>
      <c r="H134" s="31" t="n">
        <v>5</v>
      </c>
      <c r="I134" s="31" t="inlineStr">
        <is>
          <t>TO BE GENERATED — BLOCKED</t>
        </is>
      </c>
      <c r="J134" s="31" t="inlineStr">
        <is>
          <t>Scheduled/stipulated inputs</t>
        </is>
      </c>
    </row>
    <row r="135" ht="24" customHeight="1">
      <c r="A135" s="31" t="inlineStr">
        <is>
          <t>M104</t>
        </is>
      </c>
      <c r="B135" s="31" t="n">
        <v>1440</v>
      </c>
      <c r="C135" s="31" t="n">
        <v>280</v>
      </c>
      <c r="D135" s="31" t="inlineStr">
        <is>
          <t>U</t>
        </is>
      </c>
      <c r="E135" s="31" t="n">
        <v>0.65</v>
      </c>
      <c r="F135" s="31" t="inlineStr">
        <is>
          <t>Arterial</t>
        </is>
      </c>
      <c r="G135" s="31" t="inlineStr">
        <is>
          <t>VALIDATION</t>
        </is>
      </c>
      <c r="H135" s="31" t="n">
        <v>5</v>
      </c>
      <c r="I135" s="31" t="inlineStr">
        <is>
          <t>TO BE GENERATED — BLOCKED</t>
        </is>
      </c>
      <c r="J135" s="31" t="inlineStr">
        <is>
          <t>Scheduled/stipulated inputs</t>
        </is>
      </c>
    </row>
    <row r="136" ht="24" customHeight="1">
      <c r="A136" s="31" t="inlineStr">
        <is>
          <t>M105</t>
        </is>
      </c>
      <c r="B136" s="31" t="n">
        <v>1440</v>
      </c>
      <c r="C136" s="31" t="n">
        <v>280</v>
      </c>
      <c r="D136" s="31" t="inlineStr">
        <is>
          <t>C</t>
        </is>
      </c>
      <c r="E136" s="31" t="n">
        <v>0.35</v>
      </c>
      <c r="F136" s="31" t="inlineStr">
        <is>
          <t>Balanced</t>
        </is>
      </c>
      <c r="G136" s="31" t="inlineStr">
        <is>
          <t>TRAIN</t>
        </is>
      </c>
      <c r="H136" s="31" t="n">
        <v>5</v>
      </c>
      <c r="I136" s="31" t="inlineStr">
        <is>
          <t>TO BE GENERATED — BLOCKED</t>
        </is>
      </c>
      <c r="J136" s="31" t="inlineStr">
        <is>
          <t>Scheduled/stipulated inputs</t>
        </is>
      </c>
    </row>
    <row r="137" ht="24" customHeight="1">
      <c r="A137" s="31" t="inlineStr">
        <is>
          <t>M106</t>
        </is>
      </c>
      <c r="B137" s="31" t="n">
        <v>1440</v>
      </c>
      <c r="C137" s="31" t="n">
        <v>280</v>
      </c>
      <c r="D137" s="31" t="inlineStr">
        <is>
          <t>C</t>
        </is>
      </c>
      <c r="E137" s="31" t="n">
        <v>0.35</v>
      </c>
      <c r="F137" s="31" t="inlineStr">
        <is>
          <t>Arterial</t>
        </is>
      </c>
      <c r="G137" s="31" t="inlineStr">
        <is>
          <t>TEST</t>
        </is>
      </c>
      <c r="H137" s="31" t="n">
        <v>5</v>
      </c>
      <c r="I137" s="31" t="inlineStr">
        <is>
          <t>TO BE GENERATED — BLOCKED</t>
        </is>
      </c>
      <c r="J137" s="31" t="inlineStr">
        <is>
          <t>Scheduled/stipulated inputs</t>
        </is>
      </c>
    </row>
    <row r="138" ht="24" customHeight="1">
      <c r="A138" s="31" t="inlineStr">
        <is>
          <t>M107</t>
        </is>
      </c>
      <c r="B138" s="31" t="n">
        <v>1440</v>
      </c>
      <c r="C138" s="31" t="n">
        <v>280</v>
      </c>
      <c r="D138" s="31" t="inlineStr">
        <is>
          <t>C</t>
        </is>
      </c>
      <c r="E138" s="31" t="n">
        <v>0.65</v>
      </c>
      <c r="F138" s="31" t="inlineStr">
        <is>
          <t>Balanced</t>
        </is>
      </c>
      <c r="G138" s="31" t="inlineStr">
        <is>
          <t>VALIDATION</t>
        </is>
      </c>
      <c r="H138" s="31" t="n">
        <v>5</v>
      </c>
      <c r="I138" s="31" t="inlineStr">
        <is>
          <t>TO BE GENERATED — BLOCKED</t>
        </is>
      </c>
      <c r="J138" s="31" t="inlineStr">
        <is>
          <t>Scheduled/stipulated inputs</t>
        </is>
      </c>
    </row>
    <row r="139" ht="24" customHeight="1">
      <c r="A139" s="31" t="inlineStr">
        <is>
          <t>M108</t>
        </is>
      </c>
      <c r="B139" s="31" t="n">
        <v>1440</v>
      </c>
      <c r="C139" s="31" t="n">
        <v>280</v>
      </c>
      <c r="D139" s="31" t="inlineStr">
        <is>
          <t>C</t>
        </is>
      </c>
      <c r="E139" s="31" t="n">
        <v>0.65</v>
      </c>
      <c r="F139" s="31" t="inlineStr">
        <is>
          <t>Arterial</t>
        </is>
      </c>
      <c r="G139" s="31" t="inlineStr">
        <is>
          <t>TRAIN</t>
        </is>
      </c>
      <c r="H139" s="31" t="n">
        <v>5</v>
      </c>
      <c r="I139" s="31" t="inlineStr">
        <is>
          <t>TO BE GENERATED — BLOCKED</t>
        </is>
      </c>
      <c r="J139" s="31" t="inlineStr">
        <is>
          <t>Scheduled/stipulated inputs</t>
        </is>
      </c>
    </row>
    <row r="140" ht="24" customHeight="1">
      <c r="A140" s="31" t="inlineStr">
        <is>
          <t>M109</t>
        </is>
      </c>
      <c r="B140" s="31" t="n">
        <v>1440</v>
      </c>
      <c r="C140" s="31" t="n">
        <v>280</v>
      </c>
      <c r="D140" s="31" t="inlineStr">
        <is>
          <t>L</t>
        </is>
      </c>
      <c r="E140" s="31" t="n">
        <v>0.35</v>
      </c>
      <c r="F140" s="31" t="inlineStr">
        <is>
          <t>Balanced</t>
        </is>
      </c>
      <c r="G140" s="31" t="inlineStr">
        <is>
          <t>TEST</t>
        </is>
      </c>
      <c r="H140" s="31" t="n">
        <v>5</v>
      </c>
      <c r="I140" s="31" t="inlineStr">
        <is>
          <t>TO BE GENERATED — BLOCKED</t>
        </is>
      </c>
      <c r="J140" s="31" t="inlineStr">
        <is>
          <t>Scheduled/stipulated inputs</t>
        </is>
      </c>
    </row>
    <row r="141" ht="24" customHeight="1">
      <c r="A141" s="31" t="inlineStr">
        <is>
          <t>M110</t>
        </is>
      </c>
      <c r="B141" s="31" t="n">
        <v>1440</v>
      </c>
      <c r="C141" s="31" t="n">
        <v>280</v>
      </c>
      <c r="D141" s="31" t="inlineStr">
        <is>
          <t>L</t>
        </is>
      </c>
      <c r="E141" s="31" t="n">
        <v>0.35</v>
      </c>
      <c r="F141" s="31" t="inlineStr">
        <is>
          <t>Arterial</t>
        </is>
      </c>
      <c r="G141" s="31" t="inlineStr">
        <is>
          <t>TRAIN</t>
        </is>
      </c>
      <c r="H141" s="31" t="n">
        <v>5</v>
      </c>
      <c r="I141" s="31" t="inlineStr">
        <is>
          <t>TO BE GENERATED — BLOCKED</t>
        </is>
      </c>
      <c r="J141" s="31" t="inlineStr">
        <is>
          <t>Scheduled/stipulated inputs</t>
        </is>
      </c>
    </row>
    <row r="142" ht="24" customHeight="1">
      <c r="A142" s="31" t="inlineStr">
        <is>
          <t>M111</t>
        </is>
      </c>
      <c r="B142" s="31" t="n">
        <v>1440</v>
      </c>
      <c r="C142" s="31" t="n">
        <v>280</v>
      </c>
      <c r="D142" s="31" t="inlineStr">
        <is>
          <t>L</t>
        </is>
      </c>
      <c r="E142" s="31" t="n">
        <v>0.65</v>
      </c>
      <c r="F142" s="31" t="inlineStr">
        <is>
          <t>Balanced</t>
        </is>
      </c>
      <c r="G142" s="31" t="inlineStr">
        <is>
          <t>TRAIN</t>
        </is>
      </c>
      <c r="H142" s="31" t="n">
        <v>5</v>
      </c>
      <c r="I142" s="31" t="inlineStr">
        <is>
          <t>TO BE GENERATED — BLOCKED</t>
        </is>
      </c>
      <c r="J142" s="31" t="inlineStr">
        <is>
          <t>Scheduled/stipulated inputs</t>
        </is>
      </c>
    </row>
    <row r="143" ht="24" customHeight="1">
      <c r="A143" s="31" t="inlineStr">
        <is>
          <t>M112</t>
        </is>
      </c>
      <c r="B143" s="31" t="n">
        <v>1440</v>
      </c>
      <c r="C143" s="31" t="n">
        <v>280</v>
      </c>
      <c r="D143" s="31" t="inlineStr">
        <is>
          <t>L</t>
        </is>
      </c>
      <c r="E143" s="31" t="n">
        <v>0.65</v>
      </c>
      <c r="F143" s="31" t="inlineStr">
        <is>
          <t>Arterial</t>
        </is>
      </c>
      <c r="G143" s="31" t="inlineStr">
        <is>
          <t>TRAIN</t>
        </is>
      </c>
      <c r="H143" s="31" t="n">
        <v>5</v>
      </c>
      <c r="I143" s="31" t="inlineStr">
        <is>
          <t>TO BE GENERATED — BLOCKED</t>
        </is>
      </c>
      <c r="J143" s="31" t="inlineStr">
        <is>
          <t>Scheduled/stipulated inputs</t>
        </is>
      </c>
    </row>
    <row r="144" ht="24" customHeight="1">
      <c r="A144" s="31" t="inlineStr">
        <is>
          <t>M113</t>
        </is>
      </c>
      <c r="B144" s="31" t="n">
        <v>1680</v>
      </c>
      <c r="C144" s="31" t="n">
        <v>120</v>
      </c>
      <c r="D144" s="31" t="inlineStr">
        <is>
          <t>None</t>
        </is>
      </c>
      <c r="E144" s="31" t="n">
        <v>1</v>
      </c>
      <c r="F144" s="31" t="inlineStr">
        <is>
          <t>Balanced</t>
        </is>
      </c>
      <c r="G144" s="31" t="inlineStr">
        <is>
          <t>TEST</t>
        </is>
      </c>
      <c r="H144" s="31" t="n">
        <v>5</v>
      </c>
      <c r="I144" s="31" t="inlineStr">
        <is>
          <t>TO BE GENERATED — BLOCKED</t>
        </is>
      </c>
      <c r="J144" s="31" t="inlineStr">
        <is>
          <t>Scheduled/stipulated inputs</t>
        </is>
      </c>
    </row>
    <row r="145" ht="24" customHeight="1">
      <c r="A145" s="31" t="inlineStr">
        <is>
          <t>M114</t>
        </is>
      </c>
      <c r="B145" s="31" t="n">
        <v>1680</v>
      </c>
      <c r="C145" s="31" t="n">
        <v>120</v>
      </c>
      <c r="D145" s="31" t="inlineStr">
        <is>
          <t>None</t>
        </is>
      </c>
      <c r="E145" s="31" t="n">
        <v>1</v>
      </c>
      <c r="F145" s="31" t="inlineStr">
        <is>
          <t>Arterial</t>
        </is>
      </c>
      <c r="G145" s="31" t="inlineStr">
        <is>
          <t>TRAIN</t>
        </is>
      </c>
      <c r="H145" s="31" t="n">
        <v>5</v>
      </c>
      <c r="I145" s="31" t="inlineStr">
        <is>
          <t>TO BE GENERATED — BLOCKED</t>
        </is>
      </c>
      <c r="J145" s="31" t="inlineStr">
        <is>
          <t>Scheduled/stipulated inputs</t>
        </is>
      </c>
    </row>
    <row r="146" ht="24" customHeight="1">
      <c r="A146" s="31" t="inlineStr">
        <is>
          <t>M115</t>
        </is>
      </c>
      <c r="B146" s="31" t="n">
        <v>1680</v>
      </c>
      <c r="C146" s="31" t="n">
        <v>120</v>
      </c>
      <c r="D146" s="31" t="inlineStr">
        <is>
          <t>U</t>
        </is>
      </c>
      <c r="E146" s="31" t="n">
        <v>0.35</v>
      </c>
      <c r="F146" s="31" t="inlineStr">
        <is>
          <t>Balanced</t>
        </is>
      </c>
      <c r="G146" s="31" t="inlineStr">
        <is>
          <t>TRAIN</t>
        </is>
      </c>
      <c r="H146" s="31" t="n">
        <v>5</v>
      </c>
      <c r="I146" s="31" t="inlineStr">
        <is>
          <t>TO BE GENERATED — BLOCKED</t>
        </is>
      </c>
      <c r="J146" s="31" t="inlineStr">
        <is>
          <t>Scheduled/stipulated inputs</t>
        </is>
      </c>
    </row>
    <row r="147" ht="24" customHeight="1">
      <c r="A147" s="31" t="inlineStr">
        <is>
          <t>M116</t>
        </is>
      </c>
      <c r="B147" s="31" t="n">
        <v>1680</v>
      </c>
      <c r="C147" s="31" t="n">
        <v>120</v>
      </c>
      <c r="D147" s="31" t="inlineStr">
        <is>
          <t>U</t>
        </is>
      </c>
      <c r="E147" s="31" t="n">
        <v>0.35</v>
      </c>
      <c r="F147" s="31" t="inlineStr">
        <is>
          <t>Arterial</t>
        </is>
      </c>
      <c r="G147" s="31" t="inlineStr">
        <is>
          <t>TRAIN</t>
        </is>
      </c>
      <c r="H147" s="31" t="n">
        <v>5</v>
      </c>
      <c r="I147" s="31" t="inlineStr">
        <is>
          <t>TO BE GENERATED — BLOCKED</t>
        </is>
      </c>
      <c r="J147" s="31" t="inlineStr">
        <is>
          <t>Scheduled/stipulated inputs</t>
        </is>
      </c>
    </row>
    <row r="148" ht="24" customHeight="1">
      <c r="A148" s="31" t="inlineStr">
        <is>
          <t>M117</t>
        </is>
      </c>
      <c r="B148" s="31" t="n">
        <v>1680</v>
      </c>
      <c r="C148" s="31" t="n">
        <v>120</v>
      </c>
      <c r="D148" s="31" t="inlineStr">
        <is>
          <t>U</t>
        </is>
      </c>
      <c r="E148" s="31" t="n">
        <v>0.65</v>
      </c>
      <c r="F148" s="31" t="inlineStr">
        <is>
          <t>Balanced</t>
        </is>
      </c>
      <c r="G148" s="31" t="inlineStr">
        <is>
          <t>TRAIN</t>
        </is>
      </c>
      <c r="H148" s="31" t="n">
        <v>5</v>
      </c>
      <c r="I148" s="31" t="inlineStr">
        <is>
          <t>TO BE GENERATED — BLOCKED</t>
        </is>
      </c>
      <c r="J148" s="31" t="inlineStr">
        <is>
          <t>Scheduled/stipulated inputs</t>
        </is>
      </c>
    </row>
    <row r="149" ht="24" customHeight="1">
      <c r="A149" s="31" t="inlineStr">
        <is>
          <t>M118</t>
        </is>
      </c>
      <c r="B149" s="31" t="n">
        <v>1680</v>
      </c>
      <c r="C149" s="31" t="n">
        <v>120</v>
      </c>
      <c r="D149" s="31" t="inlineStr">
        <is>
          <t>U</t>
        </is>
      </c>
      <c r="E149" s="31" t="n">
        <v>0.65</v>
      </c>
      <c r="F149" s="31" t="inlineStr">
        <is>
          <t>Arterial</t>
        </is>
      </c>
      <c r="G149" s="31" t="inlineStr">
        <is>
          <t>VALIDATION</t>
        </is>
      </c>
      <c r="H149" s="31" t="n">
        <v>5</v>
      </c>
      <c r="I149" s="31" t="inlineStr">
        <is>
          <t>TO BE GENERATED — BLOCKED</t>
        </is>
      </c>
      <c r="J149" s="31" t="inlineStr">
        <is>
          <t>Scheduled/stipulated inputs</t>
        </is>
      </c>
    </row>
    <row r="150" ht="24" customHeight="1">
      <c r="A150" s="31" t="inlineStr">
        <is>
          <t>M119</t>
        </is>
      </c>
      <c r="B150" s="31" t="n">
        <v>1680</v>
      </c>
      <c r="C150" s="31" t="n">
        <v>120</v>
      </c>
      <c r="D150" s="31" t="inlineStr">
        <is>
          <t>C</t>
        </is>
      </c>
      <c r="E150" s="31" t="n">
        <v>0.35</v>
      </c>
      <c r="F150" s="31" t="inlineStr">
        <is>
          <t>Balanced</t>
        </is>
      </c>
      <c r="G150" s="31" t="inlineStr">
        <is>
          <t>TRAIN</t>
        </is>
      </c>
      <c r="H150" s="31" t="n">
        <v>5</v>
      </c>
      <c r="I150" s="31" t="inlineStr">
        <is>
          <t>TO BE GENERATED — BLOCKED</t>
        </is>
      </c>
      <c r="J150" s="31" t="inlineStr">
        <is>
          <t>Scheduled/stipulated inputs</t>
        </is>
      </c>
    </row>
    <row r="151" ht="24" customHeight="1">
      <c r="A151" s="31" t="inlineStr">
        <is>
          <t>M120</t>
        </is>
      </c>
      <c r="B151" s="31" t="n">
        <v>1680</v>
      </c>
      <c r="C151" s="31" t="n">
        <v>120</v>
      </c>
      <c r="D151" s="31" t="inlineStr">
        <is>
          <t>C</t>
        </is>
      </c>
      <c r="E151" s="31" t="n">
        <v>0.35</v>
      </c>
      <c r="F151" s="31" t="inlineStr">
        <is>
          <t>Arterial</t>
        </is>
      </c>
      <c r="G151" s="31" t="inlineStr">
        <is>
          <t>TEST</t>
        </is>
      </c>
      <c r="H151" s="31" t="n">
        <v>5</v>
      </c>
      <c r="I151" s="31" t="inlineStr">
        <is>
          <t>TO BE GENERATED — BLOCKED</t>
        </is>
      </c>
      <c r="J151" s="31" t="inlineStr">
        <is>
          <t>Scheduled/stipulated inputs</t>
        </is>
      </c>
    </row>
    <row r="152" ht="24" customHeight="1">
      <c r="A152" s="31" t="inlineStr">
        <is>
          <t>M121</t>
        </is>
      </c>
      <c r="B152" s="31" t="n">
        <v>1680</v>
      </c>
      <c r="C152" s="31" t="n">
        <v>120</v>
      </c>
      <c r="D152" s="31" t="inlineStr">
        <is>
          <t>C</t>
        </is>
      </c>
      <c r="E152" s="31" t="n">
        <v>0.65</v>
      </c>
      <c r="F152" s="31" t="inlineStr">
        <is>
          <t>Balanced</t>
        </is>
      </c>
      <c r="G152" s="31" t="inlineStr">
        <is>
          <t>VALIDATION</t>
        </is>
      </c>
      <c r="H152" s="31" t="n">
        <v>5</v>
      </c>
      <c r="I152" s="31" t="inlineStr">
        <is>
          <t>TO BE GENERATED — BLOCKED</t>
        </is>
      </c>
      <c r="J152" s="31" t="inlineStr">
        <is>
          <t>Scheduled/stipulated inputs</t>
        </is>
      </c>
    </row>
    <row r="153" ht="24" customHeight="1">
      <c r="A153" s="31" t="inlineStr">
        <is>
          <t>M122</t>
        </is>
      </c>
      <c r="B153" s="31" t="n">
        <v>1680</v>
      </c>
      <c r="C153" s="31" t="n">
        <v>120</v>
      </c>
      <c r="D153" s="31" t="inlineStr">
        <is>
          <t>C</t>
        </is>
      </c>
      <c r="E153" s="31" t="n">
        <v>0.65</v>
      </c>
      <c r="F153" s="31" t="inlineStr">
        <is>
          <t>Arterial</t>
        </is>
      </c>
      <c r="G153" s="31" t="inlineStr">
        <is>
          <t>TRAIN</t>
        </is>
      </c>
      <c r="H153" s="31" t="n">
        <v>5</v>
      </c>
      <c r="I153" s="31" t="inlineStr">
        <is>
          <t>TO BE GENERATED — BLOCKED</t>
        </is>
      </c>
      <c r="J153" s="31" t="inlineStr">
        <is>
          <t>Scheduled/stipulated inputs</t>
        </is>
      </c>
    </row>
    <row r="154" ht="24" customHeight="1">
      <c r="A154" s="31" t="inlineStr">
        <is>
          <t>M123</t>
        </is>
      </c>
      <c r="B154" s="31" t="n">
        <v>1680</v>
      </c>
      <c r="C154" s="31" t="n">
        <v>120</v>
      </c>
      <c r="D154" s="31" t="inlineStr">
        <is>
          <t>L</t>
        </is>
      </c>
      <c r="E154" s="31" t="n">
        <v>0.35</v>
      </c>
      <c r="F154" s="31" t="inlineStr">
        <is>
          <t>Balanced</t>
        </is>
      </c>
      <c r="G154" s="31" t="inlineStr">
        <is>
          <t>TEST</t>
        </is>
      </c>
      <c r="H154" s="31" t="n">
        <v>5</v>
      </c>
      <c r="I154" s="31" t="inlineStr">
        <is>
          <t>TO BE GENERATED — BLOCKED</t>
        </is>
      </c>
      <c r="J154" s="31" t="inlineStr">
        <is>
          <t>Scheduled/stipulated inputs</t>
        </is>
      </c>
    </row>
    <row r="155" ht="24" customHeight="1">
      <c r="A155" s="31" t="inlineStr">
        <is>
          <t>M124</t>
        </is>
      </c>
      <c r="B155" s="31" t="n">
        <v>1680</v>
      </c>
      <c r="C155" s="31" t="n">
        <v>120</v>
      </c>
      <c r="D155" s="31" t="inlineStr">
        <is>
          <t>L</t>
        </is>
      </c>
      <c r="E155" s="31" t="n">
        <v>0.35</v>
      </c>
      <c r="F155" s="31" t="inlineStr">
        <is>
          <t>Arterial</t>
        </is>
      </c>
      <c r="G155" s="31" t="inlineStr">
        <is>
          <t>TRAIN</t>
        </is>
      </c>
      <c r="H155" s="31" t="n">
        <v>5</v>
      </c>
      <c r="I155" s="31" t="inlineStr">
        <is>
          <t>TO BE GENERATED — BLOCKED</t>
        </is>
      </c>
      <c r="J155" s="31" t="inlineStr">
        <is>
          <t>Scheduled/stipulated inputs</t>
        </is>
      </c>
    </row>
    <row r="156" ht="24" customHeight="1">
      <c r="A156" s="31" t="inlineStr">
        <is>
          <t>M125</t>
        </is>
      </c>
      <c r="B156" s="31" t="n">
        <v>1680</v>
      </c>
      <c r="C156" s="31" t="n">
        <v>120</v>
      </c>
      <c r="D156" s="31" t="inlineStr">
        <is>
          <t>L</t>
        </is>
      </c>
      <c r="E156" s="31" t="n">
        <v>0.65</v>
      </c>
      <c r="F156" s="31" t="inlineStr">
        <is>
          <t>Balanced</t>
        </is>
      </c>
      <c r="G156" s="31" t="inlineStr">
        <is>
          <t>TRAIN</t>
        </is>
      </c>
      <c r="H156" s="31" t="n">
        <v>5</v>
      </c>
      <c r="I156" s="31" t="inlineStr">
        <is>
          <t>TO BE GENERATED — BLOCKED</t>
        </is>
      </c>
      <c r="J156" s="31" t="inlineStr">
        <is>
          <t>Scheduled/stipulated inputs</t>
        </is>
      </c>
    </row>
    <row r="157" ht="24" customHeight="1">
      <c r="A157" s="31" t="inlineStr">
        <is>
          <t>M126</t>
        </is>
      </c>
      <c r="B157" s="31" t="n">
        <v>1680</v>
      </c>
      <c r="C157" s="31" t="n">
        <v>120</v>
      </c>
      <c r="D157" s="31" t="inlineStr">
        <is>
          <t>L</t>
        </is>
      </c>
      <c r="E157" s="31" t="n">
        <v>0.65</v>
      </c>
      <c r="F157" s="31" t="inlineStr">
        <is>
          <t>Arterial</t>
        </is>
      </c>
      <c r="G157" s="31" t="inlineStr">
        <is>
          <t>TRAIN</t>
        </is>
      </c>
      <c r="H157" s="31" t="n">
        <v>5</v>
      </c>
      <c r="I157" s="31" t="inlineStr">
        <is>
          <t>TO BE GENERATED — BLOCKED</t>
        </is>
      </c>
      <c r="J157" s="31" t="inlineStr">
        <is>
          <t>Scheduled/stipulated inputs</t>
        </is>
      </c>
    </row>
    <row r="158" ht="24" customHeight="1">
      <c r="A158" s="31" t="inlineStr">
        <is>
          <t>M127</t>
        </is>
      </c>
      <c r="B158" s="31" t="n">
        <v>1680</v>
      </c>
      <c r="C158" s="31" t="n">
        <v>280</v>
      </c>
      <c r="D158" s="31" t="inlineStr">
        <is>
          <t>None</t>
        </is>
      </c>
      <c r="E158" s="31" t="n">
        <v>1</v>
      </c>
      <c r="F158" s="31" t="inlineStr">
        <is>
          <t>Balanced</t>
        </is>
      </c>
      <c r="G158" s="31" t="inlineStr">
        <is>
          <t>TRAIN</t>
        </is>
      </c>
      <c r="H158" s="31" t="n">
        <v>5</v>
      </c>
      <c r="I158" s="31" t="inlineStr">
        <is>
          <t>TO BE GENERATED — BLOCKED</t>
        </is>
      </c>
      <c r="J158" s="31" t="inlineStr">
        <is>
          <t>Scheduled/stipulated inputs</t>
        </is>
      </c>
    </row>
    <row r="159" ht="24" customHeight="1">
      <c r="A159" s="31" t="inlineStr">
        <is>
          <t>M128</t>
        </is>
      </c>
      <c r="B159" s="31" t="n">
        <v>1680</v>
      </c>
      <c r="C159" s="31" t="n">
        <v>280</v>
      </c>
      <c r="D159" s="31" t="inlineStr">
        <is>
          <t>None</t>
        </is>
      </c>
      <c r="E159" s="31" t="n">
        <v>1</v>
      </c>
      <c r="F159" s="31" t="inlineStr">
        <is>
          <t>Arterial</t>
        </is>
      </c>
      <c r="G159" s="31" t="inlineStr">
        <is>
          <t>TRAIN</t>
        </is>
      </c>
      <c r="H159" s="31" t="n">
        <v>5</v>
      </c>
      <c r="I159" s="31" t="inlineStr">
        <is>
          <t>TO BE GENERATED — BLOCKED</t>
        </is>
      </c>
      <c r="J159" s="31" t="inlineStr">
        <is>
          <t>Scheduled/stipulated inputs</t>
        </is>
      </c>
    </row>
    <row r="160" ht="24" customHeight="1">
      <c r="A160" s="31" t="inlineStr">
        <is>
          <t>M129</t>
        </is>
      </c>
      <c r="B160" s="31" t="n">
        <v>1680</v>
      </c>
      <c r="C160" s="31" t="n">
        <v>280</v>
      </c>
      <c r="D160" s="31" t="inlineStr">
        <is>
          <t>U</t>
        </is>
      </c>
      <c r="E160" s="31" t="n">
        <v>0.35</v>
      </c>
      <c r="F160" s="31" t="inlineStr">
        <is>
          <t>Balanced</t>
        </is>
      </c>
      <c r="G160" s="31" t="inlineStr">
        <is>
          <t>TRAIN</t>
        </is>
      </c>
      <c r="H160" s="31" t="n">
        <v>5</v>
      </c>
      <c r="I160" s="31" t="inlineStr">
        <is>
          <t>TO BE GENERATED — BLOCKED</t>
        </is>
      </c>
      <c r="J160" s="31" t="inlineStr">
        <is>
          <t>Scheduled/stipulated inputs</t>
        </is>
      </c>
    </row>
    <row r="161" ht="24" customHeight="1">
      <c r="A161" s="31" t="inlineStr">
        <is>
          <t>M130</t>
        </is>
      </c>
      <c r="B161" s="31" t="n">
        <v>1680</v>
      </c>
      <c r="C161" s="31" t="n">
        <v>280</v>
      </c>
      <c r="D161" s="31" t="inlineStr">
        <is>
          <t>U</t>
        </is>
      </c>
      <c r="E161" s="31" t="n">
        <v>0.35</v>
      </c>
      <c r="F161" s="31" t="inlineStr">
        <is>
          <t>Arterial</t>
        </is>
      </c>
      <c r="G161" s="31" t="inlineStr">
        <is>
          <t>VALIDATION</t>
        </is>
      </c>
      <c r="H161" s="31" t="n">
        <v>5</v>
      </c>
      <c r="I161" s="31" t="inlineStr">
        <is>
          <t>TO BE GENERATED — BLOCKED</t>
        </is>
      </c>
      <c r="J161" s="31" t="inlineStr">
        <is>
          <t>Scheduled/stipulated inputs</t>
        </is>
      </c>
    </row>
    <row r="162" ht="24" customHeight="1">
      <c r="A162" s="31" t="inlineStr">
        <is>
          <t>M131</t>
        </is>
      </c>
      <c r="B162" s="31" t="n">
        <v>1680</v>
      </c>
      <c r="C162" s="31" t="n">
        <v>280</v>
      </c>
      <c r="D162" s="31" t="inlineStr">
        <is>
          <t>U</t>
        </is>
      </c>
      <c r="E162" s="31" t="n">
        <v>0.65</v>
      </c>
      <c r="F162" s="31" t="inlineStr">
        <is>
          <t>Balanced</t>
        </is>
      </c>
      <c r="G162" s="31" t="inlineStr">
        <is>
          <t>TRAIN</t>
        </is>
      </c>
      <c r="H162" s="31" t="n">
        <v>5</v>
      </c>
      <c r="I162" s="31" t="inlineStr">
        <is>
          <t>TO BE GENERATED — BLOCKED</t>
        </is>
      </c>
      <c r="J162" s="31" t="inlineStr">
        <is>
          <t>Scheduled/stipulated inputs</t>
        </is>
      </c>
    </row>
    <row r="163" ht="24" customHeight="1">
      <c r="A163" s="31" t="inlineStr">
        <is>
          <t>M132</t>
        </is>
      </c>
      <c r="B163" s="31" t="n">
        <v>1680</v>
      </c>
      <c r="C163" s="31" t="n">
        <v>280</v>
      </c>
      <c r="D163" s="31" t="inlineStr">
        <is>
          <t>U</t>
        </is>
      </c>
      <c r="E163" s="31" t="n">
        <v>0.65</v>
      </c>
      <c r="F163" s="31" t="inlineStr">
        <is>
          <t>Arterial</t>
        </is>
      </c>
      <c r="G163" s="31" t="inlineStr">
        <is>
          <t>TEST</t>
        </is>
      </c>
      <c r="H163" s="31" t="n">
        <v>5</v>
      </c>
      <c r="I163" s="31" t="inlineStr">
        <is>
          <t>TO BE GENERATED — BLOCKED</t>
        </is>
      </c>
      <c r="J163" s="31" t="inlineStr">
        <is>
          <t>Scheduled/stipulated inputs</t>
        </is>
      </c>
    </row>
    <row r="164" ht="24" customHeight="1">
      <c r="A164" s="31" t="inlineStr">
        <is>
          <t>M133</t>
        </is>
      </c>
      <c r="B164" s="31" t="n">
        <v>1680</v>
      </c>
      <c r="C164" s="31" t="n">
        <v>280</v>
      </c>
      <c r="D164" s="31" t="inlineStr">
        <is>
          <t>C</t>
        </is>
      </c>
      <c r="E164" s="31" t="n">
        <v>0.35</v>
      </c>
      <c r="F164" s="31" t="inlineStr">
        <is>
          <t>Balanced</t>
        </is>
      </c>
      <c r="G164" s="31" t="inlineStr">
        <is>
          <t>VALIDATION</t>
        </is>
      </c>
      <c r="H164" s="31" t="n">
        <v>5</v>
      </c>
      <c r="I164" s="31" t="inlineStr">
        <is>
          <t>TO BE GENERATED — BLOCKED</t>
        </is>
      </c>
      <c r="J164" s="31" t="inlineStr">
        <is>
          <t>Scheduled/stipulated inputs</t>
        </is>
      </c>
    </row>
    <row r="165" ht="24" customHeight="1">
      <c r="A165" s="31" t="inlineStr">
        <is>
          <t>M134</t>
        </is>
      </c>
      <c r="B165" s="31" t="n">
        <v>1680</v>
      </c>
      <c r="C165" s="31" t="n">
        <v>280</v>
      </c>
      <c r="D165" s="31" t="inlineStr">
        <is>
          <t>C</t>
        </is>
      </c>
      <c r="E165" s="31" t="n">
        <v>0.35</v>
      </c>
      <c r="F165" s="31" t="inlineStr">
        <is>
          <t>Arterial</t>
        </is>
      </c>
      <c r="G165" s="31" t="inlineStr">
        <is>
          <t>TRAIN</t>
        </is>
      </c>
      <c r="H165" s="31" t="n">
        <v>5</v>
      </c>
      <c r="I165" s="31" t="inlineStr">
        <is>
          <t>TO BE GENERATED — BLOCKED</t>
        </is>
      </c>
      <c r="J165" s="31" t="inlineStr">
        <is>
          <t>Scheduled/stipulated inputs</t>
        </is>
      </c>
    </row>
    <row r="166" ht="24" customHeight="1">
      <c r="A166" s="31" t="inlineStr">
        <is>
          <t>M135</t>
        </is>
      </c>
      <c r="B166" s="31" t="n">
        <v>1680</v>
      </c>
      <c r="C166" s="31" t="n">
        <v>280</v>
      </c>
      <c r="D166" s="31" t="inlineStr">
        <is>
          <t>C</t>
        </is>
      </c>
      <c r="E166" s="31" t="n">
        <v>0.65</v>
      </c>
      <c r="F166" s="31" t="inlineStr">
        <is>
          <t>Balanced</t>
        </is>
      </c>
      <c r="G166" s="31" t="inlineStr">
        <is>
          <t>TEST</t>
        </is>
      </c>
      <c r="H166" s="31" t="n">
        <v>5</v>
      </c>
      <c r="I166" s="31" t="inlineStr">
        <is>
          <t>TO BE GENERATED — BLOCKED</t>
        </is>
      </c>
      <c r="J166" s="31" t="inlineStr">
        <is>
          <t>Scheduled/stipulated inputs</t>
        </is>
      </c>
    </row>
    <row r="167" ht="24" customHeight="1">
      <c r="A167" s="31" t="inlineStr">
        <is>
          <t>M136</t>
        </is>
      </c>
      <c r="B167" s="31" t="n">
        <v>1680</v>
      </c>
      <c r="C167" s="31" t="n">
        <v>280</v>
      </c>
      <c r="D167" s="31" t="inlineStr">
        <is>
          <t>C</t>
        </is>
      </c>
      <c r="E167" s="31" t="n">
        <v>0.65</v>
      </c>
      <c r="F167" s="31" t="inlineStr">
        <is>
          <t>Arterial</t>
        </is>
      </c>
      <c r="G167" s="31" t="inlineStr">
        <is>
          <t>TRAIN</t>
        </is>
      </c>
      <c r="H167" s="31" t="n">
        <v>5</v>
      </c>
      <c r="I167" s="31" t="inlineStr">
        <is>
          <t>TO BE GENERATED — BLOCKED</t>
        </is>
      </c>
      <c r="J167" s="31" t="inlineStr">
        <is>
          <t>Scheduled/stipulated inputs</t>
        </is>
      </c>
    </row>
    <row r="168" ht="24" customHeight="1">
      <c r="A168" s="31" t="inlineStr">
        <is>
          <t>M137</t>
        </is>
      </c>
      <c r="B168" s="31" t="n">
        <v>1680</v>
      </c>
      <c r="C168" s="31" t="n">
        <v>280</v>
      </c>
      <c r="D168" s="31" t="inlineStr">
        <is>
          <t>L</t>
        </is>
      </c>
      <c r="E168" s="31" t="n">
        <v>0.35</v>
      </c>
      <c r="F168" s="31" t="inlineStr">
        <is>
          <t>Balanced</t>
        </is>
      </c>
      <c r="G168" s="31" t="inlineStr">
        <is>
          <t>TRAIN</t>
        </is>
      </c>
      <c r="H168" s="31" t="n">
        <v>5</v>
      </c>
      <c r="I168" s="31" t="inlineStr">
        <is>
          <t>TO BE GENERATED — BLOCKED</t>
        </is>
      </c>
      <c r="J168" s="31" t="inlineStr">
        <is>
          <t>Scheduled/stipulated inputs</t>
        </is>
      </c>
    </row>
    <row r="169" ht="24" customHeight="1">
      <c r="A169" s="31" t="inlineStr">
        <is>
          <t>M138</t>
        </is>
      </c>
      <c r="B169" s="31" t="n">
        <v>1680</v>
      </c>
      <c r="C169" s="31" t="n">
        <v>280</v>
      </c>
      <c r="D169" s="31" t="inlineStr">
        <is>
          <t>L</t>
        </is>
      </c>
      <c r="E169" s="31" t="n">
        <v>0.35</v>
      </c>
      <c r="F169" s="31" t="inlineStr">
        <is>
          <t>Arterial</t>
        </is>
      </c>
      <c r="G169" s="31" t="inlineStr">
        <is>
          <t>TRAIN</t>
        </is>
      </c>
      <c r="H169" s="31" t="n">
        <v>5</v>
      </c>
      <c r="I169" s="31" t="inlineStr">
        <is>
          <t>TO BE GENERATED — BLOCKED</t>
        </is>
      </c>
      <c r="J169" s="31" t="inlineStr">
        <is>
          <t>Scheduled/stipulated inputs</t>
        </is>
      </c>
    </row>
    <row r="170" ht="24" customHeight="1">
      <c r="A170" s="31" t="inlineStr">
        <is>
          <t>M139</t>
        </is>
      </c>
      <c r="B170" s="31" t="n">
        <v>1680</v>
      </c>
      <c r="C170" s="31" t="n">
        <v>280</v>
      </c>
      <c r="D170" s="31" t="inlineStr">
        <is>
          <t>L</t>
        </is>
      </c>
      <c r="E170" s="31" t="n">
        <v>0.65</v>
      </c>
      <c r="F170" s="31" t="inlineStr">
        <is>
          <t>Balanced</t>
        </is>
      </c>
      <c r="G170" s="31" t="inlineStr">
        <is>
          <t>TRAIN</t>
        </is>
      </c>
      <c r="H170" s="31" t="n">
        <v>5</v>
      </c>
      <c r="I170" s="31" t="inlineStr">
        <is>
          <t>TO BE GENERATED — BLOCKED</t>
        </is>
      </c>
      <c r="J170" s="31" t="inlineStr">
        <is>
          <t>Scheduled/stipulated inputs</t>
        </is>
      </c>
    </row>
    <row r="171" ht="24" customHeight="1">
      <c r="A171" s="31" t="inlineStr">
        <is>
          <t>M140</t>
        </is>
      </c>
      <c r="B171" s="31" t="n">
        <v>1680</v>
      </c>
      <c r="C171" s="31" t="n">
        <v>280</v>
      </c>
      <c r="D171" s="31" t="inlineStr">
        <is>
          <t>L</t>
        </is>
      </c>
      <c r="E171" s="31" t="n">
        <v>0.65</v>
      </c>
      <c r="F171" s="31" t="inlineStr">
        <is>
          <t>Arterial</t>
        </is>
      </c>
      <c r="G171" s="31" t="inlineStr">
        <is>
          <t>VALIDATION</t>
        </is>
      </c>
      <c r="H171" s="31" t="n">
        <v>5</v>
      </c>
      <c r="I171" s="31" t="inlineStr">
        <is>
          <t>TO BE GENERATED — BLOCKED</t>
        </is>
      </c>
      <c r="J171" s="31" t="inlineStr">
        <is>
          <t>Scheduled/stipulated inputs</t>
        </is>
      </c>
    </row>
    <row r="172" ht="24" customHeight="1">
      <c r="A172" s="31" t="n"/>
      <c r="B172" s="31" t="n"/>
      <c r="C172" s="31" t="n"/>
      <c r="D172" s="31" t="n"/>
      <c r="E172" s="31" t="n"/>
      <c r="F172" s="31" t="n"/>
      <c r="G172" s="31" t="n"/>
      <c r="H172" s="31" t="n"/>
      <c r="I172" s="31" t="n"/>
      <c r="J172" s="31" t="n"/>
    </row>
    <row r="173" ht="24" customHeight="1">
      <c r="A173" s="31" t="n"/>
      <c r="B173" s="31" t="n"/>
      <c r="C173" s="31" t="n"/>
      <c r="D173" s="31" t="n"/>
      <c r="E173" s="31" t="n"/>
      <c r="F173" s="31" t="n"/>
      <c r="G173" s="31" t="n"/>
      <c r="H173" s="31" t="n"/>
      <c r="I173" s="31" t="n"/>
      <c r="J173" s="31" t="n"/>
    </row>
    <row r="174" ht="24" customHeight="1">
      <c r="A174" s="31" t="n"/>
      <c r="B174" s="31" t="n"/>
      <c r="C174" s="31" t="n"/>
      <c r="D174" s="31" t="n"/>
      <c r="E174" s="31" t="n"/>
      <c r="F174" s="31" t="n"/>
      <c r="G174" s="31" t="n"/>
      <c r="H174" s="31" t="n"/>
      <c r="I174" s="31" t="n"/>
      <c r="J174" s="31" t="n"/>
    </row>
    <row r="175" ht="24" customHeight="1">
      <c r="A175" s="31" t="n"/>
      <c r="B175" s="31" t="n"/>
      <c r="C175" s="31" t="n"/>
      <c r="D175" s="31" t="n"/>
      <c r="E175" s="31" t="n"/>
      <c r="F175" s="31" t="n"/>
      <c r="G175" s="31" t="n"/>
      <c r="H175" s="31" t="n"/>
      <c r="I175" s="31" t="n"/>
      <c r="J175" s="3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44"/>
  <sheetViews>
    <sheetView showGridLines="0" workbookViewId="0">
      <pane xSplit="1" ySplit="7" topLeftCell="B8" activePane="bottomRight" state="frozen"/>
      <selection activeCell="A1" sqref="A1"/>
    </sheetView>
  </sheetViews>
  <sheetFormatPr baseColWidth="8" defaultRowHeight="15"/>
  <cols>
    <col width="38" customWidth="1" min="1" max="1"/>
    <col width="18" customWidth="1" min="2" max="2"/>
    <col width="20" customWidth="1" min="3" max="3"/>
    <col width="15" customWidth="1" min="4" max="4"/>
    <col width="19" customWidth="1" min="5" max="5"/>
    <col width="23" customWidth="1" min="6" max="6"/>
    <col width="23" customWidth="1" min="7" max="7"/>
    <col width="22" customWidth="1" min="8" max="8"/>
    <col width="24" customWidth="1" min="9" max="9"/>
    <col width="21" customWidth="1" min="10" max="10"/>
    <col width="24" customWidth="1" min="11" max="11"/>
    <col width="25" customWidth="1" min="12" max="12"/>
    <col width="31" customWidth="1" min="13" max="13"/>
    <col width="32" customWidth="1" min="14" max="14"/>
    <col width="26" customWidth="1" min="15" max="15"/>
    <col width="24" customWidth="1" min="16" max="16"/>
    <col width="25" customWidth="1" min="17" max="17"/>
    <col width="26" customWidth="1" min="18" max="18"/>
    <col width="26" customWidth="1" min="19" max="19"/>
    <col width="22" customWidth="1" min="20" max="20"/>
    <col width="21" customWidth="1" min="21" max="21"/>
    <col width="35" customWidth="1" min="22" max="22"/>
    <col width="25" customWidth="1" min="23" max="23"/>
  </cols>
  <sheetData>
    <row r="1" ht="24" customHeight="1">
      <c r="A1" s="31" t="n"/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</row>
    <row r="2" ht="24" customHeight="1">
      <c r="A2" s="3" t="inlineStr">
        <is>
          <t>432 completed development runs</t>
        </is>
      </c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</row>
    <row r="3" ht="24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</row>
    <row r="4" ht="24" customHeight="1">
      <c r="A4" s="4" t="inlineStr">
        <is>
          <t>Imported audited SUMO run summaries; primary cohort only in primary criteria. Not a held-out test.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</row>
    <row r="5" ht="24" customHeight="1">
      <c r="A5" s="31" t="n"/>
      <c r="B5" s="31" t="n"/>
      <c r="C5" s="31" t="n"/>
      <c r="D5" s="31" t="n"/>
      <c r="E5" s="3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</row>
    <row r="6" ht="24" customHeight="1">
      <c r="A6" s="31" t="n"/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</row>
    <row r="7" ht="38" customHeight="1">
      <c r="A7" s="7" t="inlineStr">
        <is>
          <t>Key</t>
        </is>
      </c>
      <c r="B7" s="7" t="inlineStr">
        <is>
          <t>Context</t>
        </is>
      </c>
      <c r="C7" s="7" t="inlineStr">
        <is>
          <t>Setting</t>
        </is>
      </c>
      <c r="D7" s="7" t="inlineStr">
        <is>
          <t>Seed</t>
        </is>
      </c>
      <c r="E7" s="7" t="inlineStr">
        <is>
          <t>Primary n</t>
        </is>
      </c>
      <c r="F7" s="7" t="inlineStr">
        <is>
          <t>Mean journey (s)</t>
        </is>
      </c>
      <c r="G7" s="7" t="inlineStr">
        <is>
          <t>CO2 (g/veh)</t>
        </is>
      </c>
      <c r="H7" s="7" t="inlineStr">
        <is>
          <t>Distance (m)</t>
        </is>
      </c>
      <c r="I7" s="7" t="inlineStr">
        <is>
          <t>P95 journey (s)</t>
        </is>
      </c>
      <c r="J7" s="7" t="inlineStr">
        <is>
          <t>Insertion (s)</t>
        </is>
      </c>
      <c r="K7" s="7" t="inlineStr">
        <is>
          <t>BG journey (s)</t>
        </is>
      </c>
      <c r="L7" s="7" t="inlineStr">
        <is>
          <t>BG CO2 (g/veh)</t>
        </is>
      </c>
      <c r="M7" s="7" t="inlineStr">
        <is>
          <t>Network cohort CO2 (g)</t>
        </is>
      </c>
      <c r="N7" s="7" t="inlineStr">
        <is>
          <t>Stopped vehicle-time (veh-s)</t>
        </is>
      </c>
      <c r="O7" s="7" t="inlineStr">
        <is>
          <t>Default link fraction</t>
        </is>
      </c>
      <c r="P7" s="7" t="inlineStr">
        <is>
          <t>CO2 WAPE</t>
        </is>
      </c>
      <c r="Q7" s="7" t="inlineStr">
        <is>
          <t>CO2 signed bias</t>
        </is>
      </c>
      <c r="R7" s="7" t="inlineStr">
        <is>
          <t>Mean primary (veh/h)</t>
        </is>
      </c>
      <c r="S7" s="7" t="inlineStr">
        <is>
          <t>Background / stream</t>
        </is>
      </c>
      <c r="T7" s="7" t="inlineStr">
        <is>
          <t>Restriction</t>
        </is>
      </c>
      <c r="U7" s="7" t="inlineStr">
        <is>
          <t>Signal</t>
        </is>
      </c>
      <c r="V7" s="7" t="inlineStr">
        <is>
          <t>Source status</t>
        </is>
      </c>
      <c r="W7" s="7" t="inlineStr">
        <is>
          <t>Native mass error</t>
        </is>
      </c>
    </row>
    <row r="8" ht="24" customHeight="1">
      <c r="A8" s="31" t="inlineStr">
        <is>
          <t>D001__SP__8101</t>
        </is>
      </c>
      <c r="B8" s="31" t="inlineStr">
        <is>
          <t>D001</t>
        </is>
      </c>
      <c r="C8" s="31" t="inlineStr">
        <is>
          <t>SP</t>
        </is>
      </c>
      <c r="D8" s="31" t="n">
        <v>8101</v>
      </c>
      <c r="E8" s="31" t="n">
        <v>375</v>
      </c>
      <c r="F8" s="33" t="n">
        <v>336.7173333333333</v>
      </c>
      <c r="G8" s="33" t="n">
        <v>906.0946823370504</v>
      </c>
      <c r="H8" s="33" t="n">
        <v>3203.72</v>
      </c>
      <c r="I8" s="33" t="n">
        <v>356</v>
      </c>
      <c r="J8" s="33" t="n">
        <v>0.0986666666666666</v>
      </c>
      <c r="K8" s="33" t="n">
        <v>236.9867724867725</v>
      </c>
      <c r="L8" s="33" t="n">
        <v>578.6863631529501</v>
      </c>
      <c r="M8" s="33" t="n">
        <v>558528.951148209</v>
      </c>
      <c r="N8" s="33" t="n">
        <v>78535</v>
      </c>
      <c r="O8" s="34" t="n">
        <v>0</v>
      </c>
      <c r="P8" s="34" t="n">
        <v>0.0466653661994221</v>
      </c>
      <c r="Q8" s="34" t="n">
        <v>0.0150335875234159</v>
      </c>
      <c r="R8" s="31" t="n">
        <v>720</v>
      </c>
      <c r="S8" s="31" t="n">
        <v>200</v>
      </c>
      <c r="T8" s="31" t="inlineStr">
        <is>
          <t>None</t>
        </is>
      </c>
      <c r="U8" s="31" t="inlineStr">
        <is>
          <t>Balanced</t>
        </is>
      </c>
      <c r="V8" s="31" t="inlineStr">
        <is>
          <t>NEW DEVELOPMENT RESULT</t>
        </is>
      </c>
      <c r="W8" s="31" t="n">
        <v>0.00145154017704</v>
      </c>
    </row>
    <row r="9" ht="24" customHeight="1">
      <c r="A9" s="31" t="inlineStr">
        <is>
          <t>D001__SP__8102</t>
        </is>
      </c>
      <c r="B9" s="31" t="inlineStr">
        <is>
          <t>D001</t>
        </is>
      </c>
      <c r="C9" s="31" t="inlineStr">
        <is>
          <t>SP</t>
        </is>
      </c>
      <c r="D9" s="31" t="n">
        <v>8102</v>
      </c>
      <c r="E9" s="31" t="n">
        <v>392</v>
      </c>
      <c r="F9" s="33" t="n">
        <v>337.4872448979592</v>
      </c>
      <c r="G9" s="33" t="n">
        <v>910.7497573812284</v>
      </c>
      <c r="H9" s="33" t="n">
        <v>3203.720000000001</v>
      </c>
      <c r="I9" s="33" t="n">
        <v>357</v>
      </c>
      <c r="J9" s="33" t="n">
        <v>0.125</v>
      </c>
      <c r="K9" s="33" t="n">
        <v>238.7777777777778</v>
      </c>
      <c r="L9" s="33" t="n">
        <v>583.9838383188488</v>
      </c>
      <c r="M9" s="33" t="n">
        <v>583015.6503228361</v>
      </c>
      <c r="N9" s="33" t="n">
        <v>78516</v>
      </c>
      <c r="O9" s="34" t="n">
        <v>0</v>
      </c>
      <c r="P9" s="34" t="n">
        <v>0.0429209820352331</v>
      </c>
      <c r="Q9" s="34" t="n">
        <v>0.0041563172575406</v>
      </c>
      <c r="R9" s="31" t="n">
        <v>720</v>
      </c>
      <c r="S9" s="31" t="n">
        <v>200</v>
      </c>
      <c r="T9" s="31" t="inlineStr">
        <is>
          <t>None</t>
        </is>
      </c>
      <c r="U9" s="31" t="inlineStr">
        <is>
          <t>Balanced</t>
        </is>
      </c>
      <c r="V9" s="31" t="inlineStr">
        <is>
          <t>NEW DEVELOPMENT RESULT</t>
        </is>
      </c>
      <c r="W9" s="31" t="n">
        <v>0.0014535983643061</v>
      </c>
    </row>
    <row r="10" ht="24" customHeight="1">
      <c r="A10" s="31" t="inlineStr">
        <is>
          <t>D001__SP__8103</t>
        </is>
      </c>
      <c r="B10" s="31" t="inlineStr">
        <is>
          <t>D001</t>
        </is>
      </c>
      <c r="C10" s="31" t="inlineStr">
        <is>
          <t>SP</t>
        </is>
      </c>
      <c r="D10" s="31" t="n">
        <v>8103</v>
      </c>
      <c r="E10" s="31" t="n">
        <v>361</v>
      </c>
      <c r="F10" s="33" t="n">
        <v>336.7091412742382</v>
      </c>
      <c r="G10" s="33" t="n">
        <v>906.86264443067</v>
      </c>
      <c r="H10" s="33" t="n">
        <v>3203.72</v>
      </c>
      <c r="I10" s="33" t="n">
        <v>356</v>
      </c>
      <c r="J10" s="33" t="n">
        <v>0.1412742382271468</v>
      </c>
      <c r="K10" s="33" t="n">
        <v>237.0275689223058</v>
      </c>
      <c r="L10" s="33" t="n">
        <v>579.2319598187086</v>
      </c>
      <c r="M10" s="33" t="n">
        <v>558490.9666071367</v>
      </c>
      <c r="N10" s="33" t="n">
        <v>75179</v>
      </c>
      <c r="O10" s="34" t="n">
        <v>0</v>
      </c>
      <c r="P10" s="34" t="n">
        <v>0.0432906112738029</v>
      </c>
      <c r="Q10" s="34" t="n">
        <v>0.005316134053717</v>
      </c>
      <c r="R10" s="31" t="n">
        <v>720</v>
      </c>
      <c r="S10" s="31" t="n">
        <v>200</v>
      </c>
      <c r="T10" s="31" t="inlineStr">
        <is>
          <t>None</t>
        </is>
      </c>
      <c r="U10" s="31" t="inlineStr">
        <is>
          <t>Balanced</t>
        </is>
      </c>
      <c r="V10" s="31" t="inlineStr">
        <is>
          <t>NEW DEVELOPMENT RESULT</t>
        </is>
      </c>
      <c r="W10" s="31" t="n">
        <v>0.0014707610363548</v>
      </c>
    </row>
    <row r="11" ht="24" customHeight="1">
      <c r="A11" s="31" t="inlineStr">
        <is>
          <t>D001__DTT__8101</t>
        </is>
      </c>
      <c r="B11" s="31" t="inlineStr">
        <is>
          <t>D001</t>
        </is>
      </c>
      <c r="C11" s="31" t="inlineStr">
        <is>
          <t>DTT</t>
        </is>
      </c>
      <c r="D11" s="31" t="n">
        <v>8101</v>
      </c>
      <c r="E11" s="31" t="n">
        <v>375</v>
      </c>
      <c r="F11" s="33" t="n">
        <v>368.4133333333334</v>
      </c>
      <c r="G11" s="33" t="n">
        <v>979.3578975086932</v>
      </c>
      <c r="H11" s="33" t="n">
        <v>3635.129306666666</v>
      </c>
      <c r="I11" s="33" t="n">
        <v>426</v>
      </c>
      <c r="J11" s="33" t="n">
        <v>0.0986666666666666</v>
      </c>
      <c r="K11" s="33" t="n">
        <v>236.9867724867725</v>
      </c>
      <c r="L11" s="33" t="n">
        <v>578.6863631529501</v>
      </c>
      <c r="M11" s="33" t="n">
        <v>586002.6568375751</v>
      </c>
      <c r="N11" s="33" t="n">
        <v>73009</v>
      </c>
      <c r="O11" s="34" t="n">
        <v>0.7597105864432597</v>
      </c>
      <c r="P11" s="34" t="n">
        <v>0.1829427488805199</v>
      </c>
      <c r="Q11" s="34" t="n">
        <v>0.1571359829143324</v>
      </c>
      <c r="R11" s="31" t="n">
        <v>720</v>
      </c>
      <c r="S11" s="31" t="n">
        <v>200</v>
      </c>
      <c r="T11" s="31" t="inlineStr">
        <is>
          <t>None</t>
        </is>
      </c>
      <c r="U11" s="31" t="inlineStr">
        <is>
          <t>Balanced</t>
        </is>
      </c>
      <c r="V11" s="31" t="inlineStr">
        <is>
          <t>NEW DEVELOPMENT RESULT</t>
        </is>
      </c>
      <c r="W11" s="31" t="n">
        <v>0.0013760459859916</v>
      </c>
    </row>
    <row r="12" ht="24" customHeight="1">
      <c r="A12" s="31" t="inlineStr">
        <is>
          <t>D001__DTT__8102</t>
        </is>
      </c>
      <c r="B12" s="31" t="inlineStr">
        <is>
          <t>D001</t>
        </is>
      </c>
      <c r="C12" s="31" t="inlineStr">
        <is>
          <t>DTT</t>
        </is>
      </c>
      <c r="D12" s="31" t="n">
        <v>8102</v>
      </c>
      <c r="E12" s="31" t="n">
        <v>392</v>
      </c>
      <c r="F12" s="33" t="n">
        <v>373.0714285714286</v>
      </c>
      <c r="G12" s="33" t="n">
        <v>990.2563258401664</v>
      </c>
      <c r="H12" s="33" t="n">
        <v>3629.605918367347</v>
      </c>
      <c r="I12" s="33" t="n">
        <v>441.45</v>
      </c>
      <c r="J12" s="33" t="n">
        <v>0.125</v>
      </c>
      <c r="K12" s="33" t="n">
        <v>238.7777777777778</v>
      </c>
      <c r="L12" s="33" t="n">
        <v>583.9838383188488</v>
      </c>
      <c r="M12" s="33" t="n">
        <v>614182.2251587396</v>
      </c>
      <c r="N12" s="33" t="n">
        <v>73747</v>
      </c>
      <c r="O12" s="34" t="n">
        <v>0.7839506172839507</v>
      </c>
      <c r="P12" s="34" t="n">
        <v>0.1770347940509947</v>
      </c>
      <c r="Q12" s="34" t="n">
        <v>0.1364892669340288</v>
      </c>
      <c r="R12" s="31" t="n">
        <v>720</v>
      </c>
      <c r="S12" s="31" t="n">
        <v>200</v>
      </c>
      <c r="T12" s="31" t="inlineStr">
        <is>
          <t>None</t>
        </is>
      </c>
      <c r="U12" s="31" t="inlineStr">
        <is>
          <t>Balanced</t>
        </is>
      </c>
      <c r="V12" s="31" t="inlineStr">
        <is>
          <t>NEW DEVELOPMENT RESULT</t>
        </is>
      </c>
      <c r="W12" s="31" t="n">
        <v>0.0013839282265652</v>
      </c>
    </row>
    <row r="13" ht="24" customHeight="1">
      <c r="A13" s="31" t="inlineStr">
        <is>
          <t>D001__DTT__8103</t>
        </is>
      </c>
      <c r="B13" s="31" t="inlineStr">
        <is>
          <t>D001</t>
        </is>
      </c>
      <c r="C13" s="31" t="inlineStr">
        <is>
          <t>DTT</t>
        </is>
      </c>
      <c r="D13" s="31" t="n">
        <v>8103</v>
      </c>
      <c r="E13" s="31" t="n">
        <v>361</v>
      </c>
      <c r="F13" s="33" t="n">
        <v>360.9335180055402</v>
      </c>
      <c r="G13" s="33" t="n">
        <v>958.8046202068426</v>
      </c>
      <c r="H13" s="33" t="n">
        <v>3634.414515235457</v>
      </c>
      <c r="I13" s="33" t="n">
        <v>412</v>
      </c>
      <c r="J13" s="33" t="n">
        <v>0.1412742382271468</v>
      </c>
      <c r="K13" s="33" t="n">
        <v>237.0275689223058</v>
      </c>
      <c r="L13" s="33" t="n">
        <v>579.2319598187086</v>
      </c>
      <c r="M13" s="33" t="n">
        <v>577242.0198623349</v>
      </c>
      <c r="N13" s="33" t="n">
        <v>67872</v>
      </c>
      <c r="O13" s="34" t="n">
        <v>0.7612176319430718</v>
      </c>
      <c r="P13" s="34" t="n">
        <v>0.1701534459251232</v>
      </c>
      <c r="Q13" s="34" t="n">
        <v>0.1478919535218152</v>
      </c>
      <c r="R13" s="31" t="n">
        <v>720</v>
      </c>
      <c r="S13" s="31" t="n">
        <v>200</v>
      </c>
      <c r="T13" s="31" t="inlineStr">
        <is>
          <t>None</t>
        </is>
      </c>
      <c r="U13" s="31" t="inlineStr">
        <is>
          <t>Balanced</t>
        </is>
      </c>
      <c r="V13" s="31" t="inlineStr">
        <is>
          <t>NEW DEVELOPMENT RESULT</t>
        </is>
      </c>
      <c r="W13" s="31" t="n">
        <v>0.0014196906790323</v>
      </c>
    </row>
    <row r="14" ht="24" customHeight="1">
      <c r="A14" s="31" t="inlineStr">
        <is>
          <t>D001__ECO__8101</t>
        </is>
      </c>
      <c r="B14" s="31" t="inlineStr">
        <is>
          <t>D001</t>
        </is>
      </c>
      <c r="C14" s="31" t="inlineStr">
        <is>
          <t>ECO</t>
        </is>
      </c>
      <c r="D14" s="31" t="n">
        <v>8101</v>
      </c>
      <c r="E14" s="31" t="n">
        <v>375</v>
      </c>
      <c r="F14" s="33" t="n">
        <v>336.7173333333333</v>
      </c>
      <c r="G14" s="33" t="n">
        <v>906.0946823370504</v>
      </c>
      <c r="H14" s="33" t="n">
        <v>3203.72</v>
      </c>
      <c r="I14" s="33" t="n">
        <v>356</v>
      </c>
      <c r="J14" s="33" t="n">
        <v>0.0986666666666666</v>
      </c>
      <c r="K14" s="33" t="n">
        <v>236.9867724867725</v>
      </c>
      <c r="L14" s="33" t="n">
        <v>578.6863631529501</v>
      </c>
      <c r="M14" s="33" t="n">
        <v>558528.951148209</v>
      </c>
      <c r="N14" s="33" t="n">
        <v>78535</v>
      </c>
      <c r="O14" s="34" t="n">
        <v>0</v>
      </c>
      <c r="P14" s="34" t="n">
        <v>0.0466653661994221</v>
      </c>
      <c r="Q14" s="34" t="n">
        <v>0.0150335875234159</v>
      </c>
      <c r="R14" s="31" t="n">
        <v>720</v>
      </c>
      <c r="S14" s="31" t="n">
        <v>200</v>
      </c>
      <c r="T14" s="31" t="inlineStr">
        <is>
          <t>None</t>
        </is>
      </c>
      <c r="U14" s="31" t="inlineStr">
        <is>
          <t>Balanced</t>
        </is>
      </c>
      <c r="V14" s="31" t="inlineStr">
        <is>
          <t>NEW DEVELOPMENT RESULT</t>
        </is>
      </c>
      <c r="W14" s="31" t="n">
        <v>0.00145154017704</v>
      </c>
    </row>
    <row r="15" ht="24" customHeight="1">
      <c r="A15" s="31" t="inlineStr">
        <is>
          <t>D001__ECO__8102</t>
        </is>
      </c>
      <c r="B15" s="31" t="inlineStr">
        <is>
          <t>D001</t>
        </is>
      </c>
      <c r="C15" s="31" t="inlineStr">
        <is>
          <t>ECO</t>
        </is>
      </c>
      <c r="D15" s="31" t="n">
        <v>8102</v>
      </c>
      <c r="E15" s="31" t="n">
        <v>392</v>
      </c>
      <c r="F15" s="33" t="n">
        <v>337.4872448979592</v>
      </c>
      <c r="G15" s="33" t="n">
        <v>910.7497573812284</v>
      </c>
      <c r="H15" s="33" t="n">
        <v>3203.720000000001</v>
      </c>
      <c r="I15" s="33" t="n">
        <v>357</v>
      </c>
      <c r="J15" s="33" t="n">
        <v>0.125</v>
      </c>
      <c r="K15" s="33" t="n">
        <v>238.7777777777778</v>
      </c>
      <c r="L15" s="33" t="n">
        <v>583.9838383188488</v>
      </c>
      <c r="M15" s="33" t="n">
        <v>583015.6503228361</v>
      </c>
      <c r="N15" s="33" t="n">
        <v>78516</v>
      </c>
      <c r="O15" s="34" t="n">
        <v>0</v>
      </c>
      <c r="P15" s="34" t="n">
        <v>0.0429209820352331</v>
      </c>
      <c r="Q15" s="34" t="n">
        <v>0.0041563172575406</v>
      </c>
      <c r="R15" s="31" t="n">
        <v>720</v>
      </c>
      <c r="S15" s="31" t="n">
        <v>200</v>
      </c>
      <c r="T15" s="31" t="inlineStr">
        <is>
          <t>None</t>
        </is>
      </c>
      <c r="U15" s="31" t="inlineStr">
        <is>
          <t>Balanced</t>
        </is>
      </c>
      <c r="V15" s="31" t="inlineStr">
        <is>
          <t>NEW DEVELOPMENT RESULT</t>
        </is>
      </c>
      <c r="W15" s="31" t="n">
        <v>0.0014535983643061</v>
      </c>
    </row>
    <row r="16" ht="24" customHeight="1">
      <c r="A16" s="31" t="inlineStr">
        <is>
          <t>D001__ECO__8103</t>
        </is>
      </c>
      <c r="B16" s="31" t="inlineStr">
        <is>
          <t>D001</t>
        </is>
      </c>
      <c r="C16" s="31" t="inlineStr">
        <is>
          <t>ECO</t>
        </is>
      </c>
      <c r="D16" s="31" t="n">
        <v>8103</v>
      </c>
      <c r="E16" s="31" t="n">
        <v>361</v>
      </c>
      <c r="F16" s="33" t="n">
        <v>336.7091412742382</v>
      </c>
      <c r="G16" s="33" t="n">
        <v>906.86264443067</v>
      </c>
      <c r="H16" s="33" t="n">
        <v>3203.72</v>
      </c>
      <c r="I16" s="33" t="n">
        <v>356</v>
      </c>
      <c r="J16" s="33" t="n">
        <v>0.1412742382271468</v>
      </c>
      <c r="K16" s="33" t="n">
        <v>237.0275689223058</v>
      </c>
      <c r="L16" s="33" t="n">
        <v>579.2319598187086</v>
      </c>
      <c r="M16" s="33" t="n">
        <v>558490.9666071367</v>
      </c>
      <c r="N16" s="33" t="n">
        <v>75179</v>
      </c>
      <c r="O16" s="34" t="n">
        <v>0</v>
      </c>
      <c r="P16" s="34" t="n">
        <v>0.0432906112738029</v>
      </c>
      <c r="Q16" s="34" t="n">
        <v>0.005316134053717</v>
      </c>
      <c r="R16" s="31" t="n">
        <v>720</v>
      </c>
      <c r="S16" s="31" t="n">
        <v>200</v>
      </c>
      <c r="T16" s="31" t="inlineStr">
        <is>
          <t>None</t>
        </is>
      </c>
      <c r="U16" s="31" t="inlineStr">
        <is>
          <t>Balanced</t>
        </is>
      </c>
      <c r="V16" s="31" t="inlineStr">
        <is>
          <t>NEW DEVELOPMENT RESULT</t>
        </is>
      </c>
      <c r="W16" s="31" t="n">
        <v>0.0014707610363548</v>
      </c>
    </row>
    <row r="17" ht="24" customHeight="1">
      <c r="A17" s="31" t="inlineStr">
        <is>
          <t>D001__TECO05__8101</t>
        </is>
      </c>
      <c r="B17" s="31" t="inlineStr">
        <is>
          <t>D001</t>
        </is>
      </c>
      <c r="C17" s="31" t="inlineStr">
        <is>
          <t>TECO05</t>
        </is>
      </c>
      <c r="D17" s="31" t="n">
        <v>8101</v>
      </c>
      <c r="E17" s="31" t="n">
        <v>375</v>
      </c>
      <c r="F17" s="33" t="n">
        <v>360.816</v>
      </c>
      <c r="G17" s="33" t="n">
        <v>971.2491782438292</v>
      </c>
      <c r="H17" s="33" t="n">
        <v>3594.512293333333</v>
      </c>
      <c r="I17" s="33" t="n">
        <v>410.3</v>
      </c>
      <c r="J17" s="33" t="n">
        <v>0.0986666666666666</v>
      </c>
      <c r="K17" s="33" t="n">
        <v>237.0132275132275</v>
      </c>
      <c r="L17" s="33" t="n">
        <v>578.7358063138372</v>
      </c>
      <c r="M17" s="33" t="n">
        <v>582980.5766280664</v>
      </c>
      <c r="N17" s="33" t="n">
        <v>73371</v>
      </c>
      <c r="O17" s="34" t="n">
        <v>0.6332551778038297</v>
      </c>
      <c r="P17" s="34" t="n">
        <v>0.175517349568235</v>
      </c>
      <c r="Q17" s="34" t="n">
        <v>0.1277376110667414</v>
      </c>
      <c r="R17" s="31" t="n">
        <v>720</v>
      </c>
      <c r="S17" s="31" t="n">
        <v>200</v>
      </c>
      <c r="T17" s="31" t="inlineStr">
        <is>
          <t>None</t>
        </is>
      </c>
      <c r="U17" s="31" t="inlineStr">
        <is>
          <t>Balanced</t>
        </is>
      </c>
      <c r="V17" s="31" t="inlineStr">
        <is>
          <t>NEW DEVELOPMENT RESULT</t>
        </is>
      </c>
      <c r="W17" s="31" t="n">
        <v>0.0013588955404701</v>
      </c>
    </row>
    <row r="18" ht="24" customHeight="1">
      <c r="A18" s="31" t="inlineStr">
        <is>
          <t>D001__TECO05__8102</t>
        </is>
      </c>
      <c r="B18" s="31" t="inlineStr">
        <is>
          <t>D001</t>
        </is>
      </c>
      <c r="C18" s="31" t="inlineStr">
        <is>
          <t>TECO05</t>
        </is>
      </c>
      <c r="D18" s="31" t="n">
        <v>8102</v>
      </c>
      <c r="E18" s="31" t="n">
        <v>392</v>
      </c>
      <c r="F18" s="33" t="n">
        <v>362.8214285714286</v>
      </c>
      <c r="G18" s="33" t="n">
        <v>976.514741402902</v>
      </c>
      <c r="H18" s="33" t="n">
        <v>3585.058392857143</v>
      </c>
      <c r="I18" s="33" t="n">
        <v>425.45</v>
      </c>
      <c r="J18" s="33" t="n">
        <v>0.125</v>
      </c>
      <c r="K18" s="33" t="n">
        <v>238.7777777777778</v>
      </c>
      <c r="L18" s="33" t="n">
        <v>583.9838383188488</v>
      </c>
      <c r="M18" s="33" t="n">
        <v>608795.5240593321</v>
      </c>
      <c r="N18" s="33" t="n">
        <v>73510</v>
      </c>
      <c r="O18" s="34" t="n">
        <v>0.6712815715622077</v>
      </c>
      <c r="P18" s="34" t="n">
        <v>0.1579937178425626</v>
      </c>
      <c r="Q18" s="34" t="n">
        <v>0.1001267395247392</v>
      </c>
      <c r="R18" s="31" t="n">
        <v>720</v>
      </c>
      <c r="S18" s="31" t="n">
        <v>200</v>
      </c>
      <c r="T18" s="31" t="inlineStr">
        <is>
          <t>None</t>
        </is>
      </c>
      <c r="U18" s="31" t="inlineStr">
        <is>
          <t>Balanced</t>
        </is>
      </c>
      <c r="V18" s="31" t="inlineStr">
        <is>
          <t>NEW DEVELOPMENT RESULT</t>
        </is>
      </c>
      <c r="W18" s="31" t="n">
        <v>0.0013743567041559</v>
      </c>
    </row>
    <row r="19" ht="24" customHeight="1">
      <c r="A19" s="31" t="inlineStr">
        <is>
          <t>D001__TECO05__8103</t>
        </is>
      </c>
      <c r="B19" s="31" t="inlineStr">
        <is>
          <t>D001</t>
        </is>
      </c>
      <c r="C19" s="31" t="inlineStr">
        <is>
          <t>TECO05</t>
        </is>
      </c>
      <c r="D19" s="31" t="n">
        <v>8103</v>
      </c>
      <c r="E19" s="31" t="n">
        <v>361</v>
      </c>
      <c r="F19" s="33" t="n">
        <v>358.0997229916898</v>
      </c>
      <c r="G19" s="33" t="n">
        <v>965.1757705362973</v>
      </c>
      <c r="H19" s="33" t="n">
        <v>3590.824099722992</v>
      </c>
      <c r="I19" s="33" t="n">
        <v>400</v>
      </c>
      <c r="J19" s="33" t="n">
        <v>0.1412742382271468</v>
      </c>
      <c r="K19" s="33" t="n">
        <v>237.0426065162908</v>
      </c>
      <c r="L19" s="33" t="n">
        <v>579.2678937219974</v>
      </c>
      <c r="M19" s="33" t="n">
        <v>579556.3427586802</v>
      </c>
      <c r="N19" s="33" t="n">
        <v>69669</v>
      </c>
      <c r="O19" s="34" t="n">
        <v>0.6590123958545011</v>
      </c>
      <c r="P19" s="34" t="n">
        <v>0.1474995526531965</v>
      </c>
      <c r="Q19" s="34" t="n">
        <v>0.1038462788479785</v>
      </c>
      <c r="R19" s="31" t="n">
        <v>720</v>
      </c>
      <c r="S19" s="31" t="n">
        <v>200</v>
      </c>
      <c r="T19" s="31" t="inlineStr">
        <is>
          <t>None</t>
        </is>
      </c>
      <c r="U19" s="31" t="inlineStr">
        <is>
          <t>Balanced</t>
        </is>
      </c>
      <c r="V19" s="31" t="inlineStr">
        <is>
          <t>NEW DEVELOPMENT RESULT</t>
        </is>
      </c>
      <c r="W19" s="31" t="n">
        <v>0.0013881113447412</v>
      </c>
    </row>
    <row r="20" ht="24" customHeight="1">
      <c r="A20" s="31" t="inlineStr">
        <is>
          <t>D001__TECO10__8101</t>
        </is>
      </c>
      <c r="B20" s="31" t="inlineStr">
        <is>
          <t>D001</t>
        </is>
      </c>
      <c r="C20" s="31" t="inlineStr">
        <is>
          <t>TECO10</t>
        </is>
      </c>
      <c r="D20" s="31" t="n">
        <v>8101</v>
      </c>
      <c r="E20" s="31" t="n">
        <v>375</v>
      </c>
      <c r="F20" s="33" t="n">
        <v>361</v>
      </c>
      <c r="G20" s="33" t="n">
        <v>979.5014282864436</v>
      </c>
      <c r="H20" s="33" t="n">
        <v>3521.602666666667</v>
      </c>
      <c r="I20" s="33" t="n">
        <v>426</v>
      </c>
      <c r="J20" s="33" t="n">
        <v>0.0986666666666666</v>
      </c>
      <c r="K20" s="33" t="n">
        <v>236.9867724867725</v>
      </c>
      <c r="L20" s="33" t="n">
        <v>578.6863631529501</v>
      </c>
      <c r="M20" s="33" t="n">
        <v>586056.4808792315</v>
      </c>
      <c r="N20" s="33" t="n">
        <v>76449</v>
      </c>
      <c r="O20" s="34" t="n">
        <v>0.5007164790174002</v>
      </c>
      <c r="P20" s="34" t="n">
        <v>0.1439646867915362</v>
      </c>
      <c r="Q20" s="34" t="n">
        <v>0.06747651712372051</v>
      </c>
      <c r="R20" s="31" t="n">
        <v>720</v>
      </c>
      <c r="S20" s="31" t="n">
        <v>200</v>
      </c>
      <c r="T20" s="31" t="inlineStr">
        <is>
          <t>None</t>
        </is>
      </c>
      <c r="U20" s="31" t="inlineStr">
        <is>
          <t>Balanced</t>
        </is>
      </c>
      <c r="V20" s="31" t="inlineStr">
        <is>
          <t>NEW DEVELOPMENT RESULT</t>
        </is>
      </c>
      <c r="W20" s="31" t="n">
        <v>0.0013488913184683</v>
      </c>
    </row>
    <row r="21" ht="24" customHeight="1">
      <c r="A21" s="31" t="inlineStr">
        <is>
          <t>D001__TECO10__8102</t>
        </is>
      </c>
      <c r="B21" s="31" t="inlineStr">
        <is>
          <t>D001</t>
        </is>
      </c>
      <c r="C21" s="31" t="inlineStr">
        <is>
          <t>TECO10</t>
        </is>
      </c>
      <c r="D21" s="31" t="n">
        <v>8102</v>
      </c>
      <c r="E21" s="31" t="n">
        <v>392</v>
      </c>
      <c r="F21" s="33" t="n">
        <v>354.7551020408163</v>
      </c>
      <c r="G21" s="33" t="n">
        <v>966.1918992861029</v>
      </c>
      <c r="H21" s="33" t="n">
        <v>3522.221530612245</v>
      </c>
      <c r="I21" s="33" t="n">
        <v>397.9</v>
      </c>
      <c r="J21" s="33" t="n">
        <v>0.125</v>
      </c>
      <c r="K21" s="33" t="n">
        <v>238.7777777777778</v>
      </c>
      <c r="L21" s="33" t="n">
        <v>583.9838383188488</v>
      </c>
      <c r="M21" s="33" t="n">
        <v>604748.9699495469</v>
      </c>
      <c r="N21" s="33" t="n">
        <v>74220</v>
      </c>
      <c r="O21" s="34" t="n">
        <v>0.5225137039937353</v>
      </c>
      <c r="P21" s="34" t="n">
        <v>0.1136421284480469</v>
      </c>
      <c r="Q21" s="34" t="n">
        <v>0.0591352799869206</v>
      </c>
      <c r="R21" s="31" t="n">
        <v>720</v>
      </c>
      <c r="S21" s="31" t="n">
        <v>200</v>
      </c>
      <c r="T21" s="31" t="inlineStr">
        <is>
          <t>None</t>
        </is>
      </c>
      <c r="U21" s="31" t="inlineStr">
        <is>
          <t>Balanced</t>
        </is>
      </c>
      <c r="V21" s="31" t="inlineStr">
        <is>
          <t>NEW DEVELOPMENT RESULT</t>
        </is>
      </c>
      <c r="W21" s="31" t="n">
        <v>0.0013621395070981</v>
      </c>
    </row>
    <row r="22" ht="24" customHeight="1">
      <c r="A22" s="31" t="inlineStr">
        <is>
          <t>D001__TECO10__8103</t>
        </is>
      </c>
      <c r="B22" s="31" t="inlineStr">
        <is>
          <t>D001</t>
        </is>
      </c>
      <c r="C22" s="31" t="inlineStr">
        <is>
          <t>TECO10</t>
        </is>
      </c>
      <c r="D22" s="31" t="n">
        <v>8103</v>
      </c>
      <c r="E22" s="31" t="n">
        <v>361</v>
      </c>
      <c r="F22" s="33" t="n">
        <v>352.224376731302</v>
      </c>
      <c r="G22" s="33" t="n">
        <v>956.5820187012664</v>
      </c>
      <c r="H22" s="33" t="n">
        <v>3526.978725761774</v>
      </c>
      <c r="I22" s="33" t="n">
        <v>393</v>
      </c>
      <c r="J22" s="33" t="n">
        <v>0.1412742382271468</v>
      </c>
      <c r="K22" s="33" t="n">
        <v>237.0275689223058</v>
      </c>
      <c r="L22" s="33" t="n">
        <v>579.2319598187086</v>
      </c>
      <c r="M22" s="33" t="n">
        <v>576439.6607188219</v>
      </c>
      <c r="N22" s="33" t="n">
        <v>70616</v>
      </c>
      <c r="O22" s="34" t="n">
        <v>0.5310710498409332</v>
      </c>
      <c r="P22" s="34" t="n">
        <v>0.1105159979929592</v>
      </c>
      <c r="Q22" s="34" t="n">
        <v>0.06897558421673571</v>
      </c>
      <c r="R22" s="31" t="n">
        <v>720</v>
      </c>
      <c r="S22" s="31" t="n">
        <v>200</v>
      </c>
      <c r="T22" s="31" t="inlineStr">
        <is>
          <t>None</t>
        </is>
      </c>
      <c r="U22" s="31" t="inlineStr">
        <is>
          <t>Balanced</t>
        </is>
      </c>
      <c r="V22" s="31" t="inlineStr">
        <is>
          <t>NEW DEVELOPMENT RESULT</t>
        </is>
      </c>
      <c r="W22" s="31" t="n">
        <v>0.0013812854949772</v>
      </c>
    </row>
    <row r="23" ht="24" customHeight="1">
      <c r="A23" s="31" t="inlineStr">
        <is>
          <t>D001__TECO15__8101</t>
        </is>
      </c>
      <c r="B23" s="31" t="inlineStr">
        <is>
          <t>D001</t>
        </is>
      </c>
      <c r="C23" s="31" t="inlineStr">
        <is>
          <t>TECO15</t>
        </is>
      </c>
      <c r="D23" s="31" t="n">
        <v>8101</v>
      </c>
      <c r="E23" s="31" t="n">
        <v>375</v>
      </c>
      <c r="F23" s="33" t="n">
        <v>351.192</v>
      </c>
      <c r="G23" s="33" t="n">
        <v>951.3733206610382</v>
      </c>
      <c r="H23" s="33" t="n">
        <v>3523.200533333333</v>
      </c>
      <c r="I23" s="33" t="n">
        <v>396.6</v>
      </c>
      <c r="J23" s="33" t="n">
        <v>0.0986666666666666</v>
      </c>
      <c r="K23" s="33" t="n">
        <v>237.031746031746</v>
      </c>
      <c r="L23" s="33" t="n">
        <v>578.8108605022281</v>
      </c>
      <c r="M23" s="33" t="n">
        <v>575555.5005177315</v>
      </c>
      <c r="N23" s="33" t="n">
        <v>73684</v>
      </c>
      <c r="O23" s="34" t="n">
        <v>0.3503366659865333</v>
      </c>
      <c r="P23" s="34" t="n">
        <v>0.097246226054615</v>
      </c>
      <c r="Q23" s="34" t="n">
        <v>0.0504456217478531</v>
      </c>
      <c r="R23" s="31" t="n">
        <v>720</v>
      </c>
      <c r="S23" s="31" t="n">
        <v>200</v>
      </c>
      <c r="T23" s="31" t="inlineStr">
        <is>
          <t>None</t>
        </is>
      </c>
      <c r="U23" s="31" t="inlineStr">
        <is>
          <t>Balanced</t>
        </is>
      </c>
      <c r="V23" s="31" t="inlineStr">
        <is>
          <t>NEW DEVELOPMENT RESULT</t>
        </is>
      </c>
      <c r="W23" s="31" t="n">
        <v>0.0013583707999037</v>
      </c>
    </row>
    <row r="24" ht="24" customHeight="1">
      <c r="A24" s="31" t="inlineStr">
        <is>
          <t>D001__TECO15__8102</t>
        </is>
      </c>
      <c r="B24" s="31" t="inlineStr">
        <is>
          <t>D001</t>
        </is>
      </c>
      <c r="C24" s="31" t="inlineStr">
        <is>
          <t>TECO15</t>
        </is>
      </c>
      <c r="D24" s="31" t="n">
        <v>8102</v>
      </c>
      <c r="E24" s="31" t="n">
        <v>392</v>
      </c>
      <c r="F24" s="33" t="n">
        <v>352.7525510204082</v>
      </c>
      <c r="G24" s="33" t="n">
        <v>956.9976592588944</v>
      </c>
      <c r="H24" s="33" t="n">
        <v>3512.093290816327</v>
      </c>
      <c r="I24" s="33" t="n">
        <v>395.45</v>
      </c>
      <c r="J24" s="33" t="n">
        <v>0.125</v>
      </c>
      <c r="K24" s="33" t="n">
        <v>238.8682170542636</v>
      </c>
      <c r="L24" s="33" t="n">
        <v>584.1728688893688</v>
      </c>
      <c r="M24" s="33" t="n">
        <v>601217.9826896724</v>
      </c>
      <c r="N24" s="33" t="n">
        <v>74050</v>
      </c>
      <c r="O24" s="34" t="n">
        <v>0.4880187025131502</v>
      </c>
      <c r="P24" s="34" t="n">
        <v>0.1160711908915883</v>
      </c>
      <c r="Q24" s="34" t="n">
        <v>0.0510741633421171</v>
      </c>
      <c r="R24" s="31" t="n">
        <v>720</v>
      </c>
      <c r="S24" s="31" t="n">
        <v>200</v>
      </c>
      <c r="T24" s="31" t="inlineStr">
        <is>
          <t>None</t>
        </is>
      </c>
      <c r="U24" s="31" t="inlineStr">
        <is>
          <t>Balanced</t>
        </is>
      </c>
      <c r="V24" s="31" t="inlineStr">
        <is>
          <t>NEW DEVELOPMENT RESULT</t>
        </is>
      </c>
      <c r="W24" s="31" t="n">
        <v>0.0013823749444576</v>
      </c>
    </row>
    <row r="25" ht="24" customHeight="1">
      <c r="A25" s="31" t="inlineStr">
        <is>
          <t>D001__TECO15__8103</t>
        </is>
      </c>
      <c r="B25" s="31" t="inlineStr">
        <is>
          <t>D001</t>
        </is>
      </c>
      <c r="C25" s="31" t="inlineStr">
        <is>
          <t>TECO15</t>
        </is>
      </c>
      <c r="D25" s="31" t="n">
        <v>8103</v>
      </c>
      <c r="E25" s="31" t="n">
        <v>361</v>
      </c>
      <c r="F25" s="33" t="n">
        <v>350.584487534626</v>
      </c>
      <c r="G25" s="33" t="n">
        <v>951.716745714918</v>
      </c>
      <c r="H25" s="33" t="n">
        <v>3568.689529085873</v>
      </c>
      <c r="I25" s="33" t="n">
        <v>390</v>
      </c>
      <c r="J25" s="33" t="n">
        <v>0.1412742382271468</v>
      </c>
      <c r="K25" s="33" t="n">
        <v>237.0275689223058</v>
      </c>
      <c r="L25" s="33" t="n">
        <v>579.2319598187086</v>
      </c>
      <c r="M25" s="33" t="n">
        <v>574683.2971707501</v>
      </c>
      <c r="N25" s="33" t="n">
        <v>69198</v>
      </c>
      <c r="O25" s="34" t="n">
        <v>0.33236333402619</v>
      </c>
      <c r="P25" s="34" t="n">
        <v>0.0977515509107164</v>
      </c>
      <c r="Q25" s="34" t="n">
        <v>0.0435377957081948</v>
      </c>
      <c r="R25" s="31" t="n">
        <v>720</v>
      </c>
      <c r="S25" s="31" t="n">
        <v>200</v>
      </c>
      <c r="T25" s="31" t="inlineStr">
        <is>
          <t>None</t>
        </is>
      </c>
      <c r="U25" s="31" t="inlineStr">
        <is>
          <t>Balanced</t>
        </is>
      </c>
      <c r="V25" s="31" t="inlineStr">
        <is>
          <t>NEW DEVELOPMENT RESULT</t>
        </is>
      </c>
      <c r="W25" s="31" t="n">
        <v>0.0013737931211869</v>
      </c>
    </row>
    <row r="26" ht="24" customHeight="1">
      <c r="A26" s="31" t="inlineStr">
        <is>
          <t>D002__SP__8101</t>
        </is>
      </c>
      <c r="B26" s="31" t="inlineStr">
        <is>
          <t>D002</t>
        </is>
      </c>
      <c r="C26" s="31" t="inlineStr">
        <is>
          <t>SP</t>
        </is>
      </c>
      <c r="D26" s="31" t="n">
        <v>8101</v>
      </c>
      <c r="E26" s="31" t="n">
        <v>375</v>
      </c>
      <c r="F26" s="33" t="n">
        <v>274.2746666666667</v>
      </c>
      <c r="G26" s="33" t="n">
        <v>709.7937179168531</v>
      </c>
      <c r="H26" s="33" t="n">
        <v>3203.72</v>
      </c>
      <c r="I26" s="33" t="n">
        <v>299</v>
      </c>
      <c r="J26" s="33" t="n">
        <v>0.0986666666666666</v>
      </c>
      <c r="K26" s="33" t="n">
        <v>246.9867724867725</v>
      </c>
      <c r="L26" s="33" t="n">
        <v>607.6499770611385</v>
      </c>
      <c r="M26" s="33" t="n">
        <v>495864.3355479303</v>
      </c>
      <c r="N26" s="33" t="n">
        <v>54441</v>
      </c>
      <c r="O26" s="34" t="n">
        <v>0</v>
      </c>
      <c r="P26" s="34" t="n">
        <v>0.0645459001489055</v>
      </c>
      <c r="Q26" s="34" t="n">
        <v>0.0114954221864662</v>
      </c>
      <c r="R26" s="31" t="n">
        <v>720</v>
      </c>
      <c r="S26" s="31" t="n">
        <v>200</v>
      </c>
      <c r="T26" s="31" t="inlineStr">
        <is>
          <t>None</t>
        </is>
      </c>
      <c r="U26" s="31" t="inlineStr">
        <is>
          <t>Arterial</t>
        </is>
      </c>
      <c r="V26" s="31" t="inlineStr">
        <is>
          <t>NEW DEVELOPMENT RESULT</t>
        </is>
      </c>
      <c r="W26" s="31" t="n">
        <v>0.0016761287980159</v>
      </c>
    </row>
    <row r="27" ht="24" customHeight="1">
      <c r="A27" s="31" t="inlineStr">
        <is>
          <t>D002__SP__8102</t>
        </is>
      </c>
      <c r="B27" s="31" t="inlineStr">
        <is>
          <t>D002</t>
        </is>
      </c>
      <c r="C27" s="31" t="inlineStr">
        <is>
          <t>SP</t>
        </is>
      </c>
      <c r="D27" s="31" t="n">
        <v>8102</v>
      </c>
      <c r="E27" s="31" t="n">
        <v>392</v>
      </c>
      <c r="F27" s="33" t="n">
        <v>276.8673469387755</v>
      </c>
      <c r="G27" s="33" t="n">
        <v>720.2960581426837</v>
      </c>
      <c r="H27" s="33" t="n">
        <v>3203.720000000001</v>
      </c>
      <c r="I27" s="33" t="n">
        <v>301.45</v>
      </c>
      <c r="J27" s="33" t="n">
        <v>0.125</v>
      </c>
      <c r="K27" s="33" t="n">
        <v>249.0180878552972</v>
      </c>
      <c r="L27" s="33" t="n">
        <v>613.1871982528231</v>
      </c>
      <c r="M27" s="33" t="n">
        <v>519659.5005157745</v>
      </c>
      <c r="N27" s="33" t="n">
        <v>55379</v>
      </c>
      <c r="O27" s="34" t="n">
        <v>0</v>
      </c>
      <c r="P27" s="34" t="n">
        <v>0.067413137222541</v>
      </c>
      <c r="Q27" s="34" t="n">
        <v>-0.0015222509752427</v>
      </c>
      <c r="R27" s="31" t="n">
        <v>720</v>
      </c>
      <c r="S27" s="31" t="n">
        <v>200</v>
      </c>
      <c r="T27" s="31" t="inlineStr">
        <is>
          <t>None</t>
        </is>
      </c>
      <c r="U27" s="31" t="inlineStr">
        <is>
          <t>Arterial</t>
        </is>
      </c>
      <c r="V27" s="31" t="inlineStr">
        <is>
          <t>NEW DEVELOPMENT RESULT</t>
        </is>
      </c>
      <c r="W27" s="31" t="n">
        <v>0.0016815670961003</v>
      </c>
    </row>
    <row r="28" ht="24" customHeight="1">
      <c r="A28" s="31" t="inlineStr">
        <is>
          <t>D002__SP__8103</t>
        </is>
      </c>
      <c r="B28" s="31" t="inlineStr">
        <is>
          <t>D002</t>
        </is>
      </c>
      <c r="C28" s="31" t="inlineStr">
        <is>
          <t>SP</t>
        </is>
      </c>
      <c r="D28" s="31" t="n">
        <v>8103</v>
      </c>
      <c r="E28" s="31" t="n">
        <v>361</v>
      </c>
      <c r="F28" s="33" t="n">
        <v>273.6426592797784</v>
      </c>
      <c r="G28" s="33" t="n">
        <v>708.4537871369897</v>
      </c>
      <c r="H28" s="33" t="n">
        <v>3203.72</v>
      </c>
      <c r="I28" s="33" t="n">
        <v>298</v>
      </c>
      <c r="J28" s="33" t="n">
        <v>0.1412742382271468</v>
      </c>
      <c r="K28" s="33" t="n">
        <v>247.0275689223058</v>
      </c>
      <c r="L28" s="33" t="n">
        <v>607.6764235974201</v>
      </c>
      <c r="M28" s="33" t="n">
        <v>498214.7101718239</v>
      </c>
      <c r="N28" s="33" t="n">
        <v>53006</v>
      </c>
      <c r="O28" s="34" t="n">
        <v>0</v>
      </c>
      <c r="P28" s="34" t="n">
        <v>0.0718757320903836</v>
      </c>
      <c r="Q28" s="34" t="n">
        <v>-0.0005152495181328</v>
      </c>
      <c r="R28" s="31" t="n">
        <v>720</v>
      </c>
      <c r="S28" s="31" t="n">
        <v>200</v>
      </c>
      <c r="T28" s="31" t="inlineStr">
        <is>
          <t>None</t>
        </is>
      </c>
      <c r="U28" s="31" t="inlineStr">
        <is>
          <t>Arterial</t>
        </is>
      </c>
      <c r="V28" s="31" t="inlineStr">
        <is>
          <t>NEW DEVELOPMENT RESULT</t>
        </is>
      </c>
      <c r="W28" s="31" t="n">
        <v>0.0016944688611323</v>
      </c>
    </row>
    <row r="29" ht="24" customHeight="1">
      <c r="A29" s="31" t="inlineStr">
        <is>
          <t>D002__DTT__8101</t>
        </is>
      </c>
      <c r="B29" s="31" t="inlineStr">
        <is>
          <t>D002</t>
        </is>
      </c>
      <c r="C29" s="31" t="inlineStr">
        <is>
          <t>DTT</t>
        </is>
      </c>
      <c r="D29" s="31" t="n">
        <v>8101</v>
      </c>
      <c r="E29" s="31" t="n">
        <v>375</v>
      </c>
      <c r="F29" s="33" t="n">
        <v>286.504</v>
      </c>
      <c r="G29" s="33" t="n">
        <v>743.7028120461907</v>
      </c>
      <c r="H29" s="33" t="n">
        <v>3301.860453333333</v>
      </c>
      <c r="I29" s="33" t="n">
        <v>371.6</v>
      </c>
      <c r="J29" s="33" t="n">
        <v>0.0986666666666666</v>
      </c>
      <c r="K29" s="33" t="n">
        <v>246.9867724867725</v>
      </c>
      <c r="L29" s="33" t="n">
        <v>607.6499770611385</v>
      </c>
      <c r="M29" s="33" t="n">
        <v>508580.245846432</v>
      </c>
      <c r="N29" s="33" t="n">
        <v>55632</v>
      </c>
      <c r="O29" s="34" t="n">
        <v>0.1812356979405034</v>
      </c>
      <c r="P29" s="34" t="n">
        <v>0.1199728949186733</v>
      </c>
      <c r="Q29" s="34" t="n">
        <v>0.06738999162549809</v>
      </c>
      <c r="R29" s="31" t="n">
        <v>720</v>
      </c>
      <c r="S29" s="31" t="n">
        <v>200</v>
      </c>
      <c r="T29" s="31" t="inlineStr">
        <is>
          <t>None</t>
        </is>
      </c>
      <c r="U29" s="31" t="inlineStr">
        <is>
          <t>Arterial</t>
        </is>
      </c>
      <c r="V29" s="31" t="inlineStr">
        <is>
          <t>NEW DEVELOPMENT RESULT</t>
        </is>
      </c>
      <c r="W29" s="31" t="n">
        <v>0.0016286869535795</v>
      </c>
    </row>
    <row r="30" ht="24" customHeight="1">
      <c r="A30" s="31" t="inlineStr">
        <is>
          <t>D002__DTT__8102</t>
        </is>
      </c>
      <c r="B30" s="31" t="inlineStr">
        <is>
          <t>D002</t>
        </is>
      </c>
      <c r="C30" s="31" t="inlineStr">
        <is>
          <t>DTT</t>
        </is>
      </c>
      <c r="D30" s="31" t="n">
        <v>8102</v>
      </c>
      <c r="E30" s="31" t="n">
        <v>392</v>
      </c>
      <c r="F30" s="33" t="n">
        <v>281.3852040816327</v>
      </c>
      <c r="G30" s="33" t="n">
        <v>733.567706600765</v>
      </c>
      <c r="H30" s="33" t="n">
        <v>3261.33836734694</v>
      </c>
      <c r="I30" s="33" t="n">
        <v>342.9</v>
      </c>
      <c r="J30" s="33" t="n">
        <v>0.125</v>
      </c>
      <c r="K30" s="33" t="n">
        <v>249.0180878552972</v>
      </c>
      <c r="L30" s="33" t="n">
        <v>613.1871982528231</v>
      </c>
      <c r="M30" s="33" t="n">
        <v>524861.9867113424</v>
      </c>
      <c r="N30" s="33" t="n">
        <v>55402</v>
      </c>
      <c r="O30" s="34" t="n">
        <v>0.0933572710951526</v>
      </c>
      <c r="P30" s="34" t="n">
        <v>0.09909411691292649</v>
      </c>
      <c r="Q30" s="34" t="n">
        <v>0.0205576153753082</v>
      </c>
      <c r="R30" s="31" t="n">
        <v>720</v>
      </c>
      <c r="S30" s="31" t="n">
        <v>200</v>
      </c>
      <c r="T30" s="31" t="inlineStr">
        <is>
          <t>None</t>
        </is>
      </c>
      <c r="U30" s="31" t="inlineStr">
        <is>
          <t>Arterial</t>
        </is>
      </c>
      <c r="V30" s="31" t="inlineStr">
        <is>
          <t>NEW DEVELOPMENT RESULT</t>
        </is>
      </c>
      <c r="W30" s="31" t="n">
        <v>0.0016508978017588</v>
      </c>
    </row>
    <row r="31" ht="24" customHeight="1">
      <c r="A31" s="31" t="inlineStr">
        <is>
          <t>D002__DTT__8103</t>
        </is>
      </c>
      <c r="B31" s="31" t="inlineStr">
        <is>
          <t>D002</t>
        </is>
      </c>
      <c r="C31" s="31" t="inlineStr">
        <is>
          <t>DTT</t>
        </is>
      </c>
      <c r="D31" s="31" t="n">
        <v>8103</v>
      </c>
      <c r="E31" s="31" t="n">
        <v>361</v>
      </c>
      <c r="F31" s="33" t="n">
        <v>284.1745152354571</v>
      </c>
      <c r="G31" s="33" t="n">
        <v>737.0915076303316</v>
      </c>
      <c r="H31" s="33" t="n">
        <v>3268.906121883657</v>
      </c>
      <c r="I31" s="33" t="n">
        <v>374</v>
      </c>
      <c r="J31" s="33" t="n">
        <v>0.1412742382271468</v>
      </c>
      <c r="K31" s="33" t="n">
        <v>247.0275689223058</v>
      </c>
      <c r="L31" s="33" t="n">
        <v>607.6764235974201</v>
      </c>
      <c r="M31" s="33" t="n">
        <v>508552.9272699204</v>
      </c>
      <c r="N31" s="33" t="n">
        <v>54278</v>
      </c>
      <c r="O31" s="34" t="n">
        <v>0.1322533849129593</v>
      </c>
      <c r="P31" s="34" t="n">
        <v>0.1026671470341774</v>
      </c>
      <c r="Q31" s="34" t="n">
        <v>0.0328176583755343</v>
      </c>
      <c r="R31" s="31" t="n">
        <v>720</v>
      </c>
      <c r="S31" s="31" t="n">
        <v>200</v>
      </c>
      <c r="T31" s="31" t="inlineStr">
        <is>
          <t>None</t>
        </is>
      </c>
      <c r="U31" s="31" t="inlineStr">
        <is>
          <t>Arterial</t>
        </is>
      </c>
      <c r="V31" s="31" t="inlineStr">
        <is>
          <t>NEW DEVELOPMENT RESULT</t>
        </is>
      </c>
      <c r="W31" s="31" t="n">
        <v>0.001659035756957</v>
      </c>
    </row>
    <row r="32" ht="24" customHeight="1">
      <c r="A32" s="31" t="inlineStr">
        <is>
          <t>D002__ECO__8101</t>
        </is>
      </c>
      <c r="B32" s="31" t="inlineStr">
        <is>
          <t>D002</t>
        </is>
      </c>
      <c r="C32" s="31" t="inlineStr">
        <is>
          <t>ECO</t>
        </is>
      </c>
      <c r="D32" s="31" t="n">
        <v>8101</v>
      </c>
      <c r="E32" s="31" t="n">
        <v>375</v>
      </c>
      <c r="F32" s="33" t="n">
        <v>274.2746666666667</v>
      </c>
      <c r="G32" s="33" t="n">
        <v>709.7937179168531</v>
      </c>
      <c r="H32" s="33" t="n">
        <v>3203.72</v>
      </c>
      <c r="I32" s="33" t="n">
        <v>299</v>
      </c>
      <c r="J32" s="33" t="n">
        <v>0.0986666666666666</v>
      </c>
      <c r="K32" s="33" t="n">
        <v>246.9867724867725</v>
      </c>
      <c r="L32" s="33" t="n">
        <v>607.6499770611385</v>
      </c>
      <c r="M32" s="33" t="n">
        <v>495864.3355479303</v>
      </c>
      <c r="N32" s="33" t="n">
        <v>54441</v>
      </c>
      <c r="O32" s="34" t="n">
        <v>0</v>
      </c>
      <c r="P32" s="34" t="n">
        <v>0.0645459001489055</v>
      </c>
      <c r="Q32" s="34" t="n">
        <v>0.0114954221864662</v>
      </c>
      <c r="R32" s="31" t="n">
        <v>720</v>
      </c>
      <c r="S32" s="31" t="n">
        <v>200</v>
      </c>
      <c r="T32" s="31" t="inlineStr">
        <is>
          <t>None</t>
        </is>
      </c>
      <c r="U32" s="31" t="inlineStr">
        <is>
          <t>Arterial</t>
        </is>
      </c>
      <c r="V32" s="31" t="inlineStr">
        <is>
          <t>NEW DEVELOPMENT RESULT</t>
        </is>
      </c>
      <c r="W32" s="31" t="n">
        <v>0.0016761287980159</v>
      </c>
    </row>
    <row r="33" ht="24" customHeight="1">
      <c r="A33" s="31" t="inlineStr">
        <is>
          <t>D002__ECO__8102</t>
        </is>
      </c>
      <c r="B33" s="31" t="inlineStr">
        <is>
          <t>D002</t>
        </is>
      </c>
      <c r="C33" s="31" t="inlineStr">
        <is>
          <t>ECO</t>
        </is>
      </c>
      <c r="D33" s="31" t="n">
        <v>8102</v>
      </c>
      <c r="E33" s="31" t="n">
        <v>392</v>
      </c>
      <c r="F33" s="33" t="n">
        <v>276.8673469387755</v>
      </c>
      <c r="G33" s="33" t="n">
        <v>720.2960581426837</v>
      </c>
      <c r="H33" s="33" t="n">
        <v>3203.720000000001</v>
      </c>
      <c r="I33" s="33" t="n">
        <v>301.45</v>
      </c>
      <c r="J33" s="33" t="n">
        <v>0.125</v>
      </c>
      <c r="K33" s="33" t="n">
        <v>249.0180878552972</v>
      </c>
      <c r="L33" s="33" t="n">
        <v>613.1871982528231</v>
      </c>
      <c r="M33" s="33" t="n">
        <v>519659.5005157745</v>
      </c>
      <c r="N33" s="33" t="n">
        <v>55379</v>
      </c>
      <c r="O33" s="34" t="n">
        <v>0</v>
      </c>
      <c r="P33" s="34" t="n">
        <v>0.067413137222541</v>
      </c>
      <c r="Q33" s="34" t="n">
        <v>-0.0015222509752427</v>
      </c>
      <c r="R33" s="31" t="n">
        <v>720</v>
      </c>
      <c r="S33" s="31" t="n">
        <v>200</v>
      </c>
      <c r="T33" s="31" t="inlineStr">
        <is>
          <t>None</t>
        </is>
      </c>
      <c r="U33" s="31" t="inlineStr">
        <is>
          <t>Arterial</t>
        </is>
      </c>
      <c r="V33" s="31" t="inlineStr">
        <is>
          <t>NEW DEVELOPMENT RESULT</t>
        </is>
      </c>
      <c r="W33" s="31" t="n">
        <v>0.0016815670961003</v>
      </c>
    </row>
    <row r="34" ht="24" customHeight="1">
      <c r="A34" s="31" t="inlineStr">
        <is>
          <t>D002__ECO__8103</t>
        </is>
      </c>
      <c r="B34" s="31" t="inlineStr">
        <is>
          <t>D002</t>
        </is>
      </c>
      <c r="C34" s="31" t="inlineStr">
        <is>
          <t>ECO</t>
        </is>
      </c>
      <c r="D34" s="31" t="n">
        <v>8103</v>
      </c>
      <c r="E34" s="31" t="n">
        <v>361</v>
      </c>
      <c r="F34" s="33" t="n">
        <v>273.6426592797784</v>
      </c>
      <c r="G34" s="33" t="n">
        <v>708.4537871369897</v>
      </c>
      <c r="H34" s="33" t="n">
        <v>3203.72</v>
      </c>
      <c r="I34" s="33" t="n">
        <v>298</v>
      </c>
      <c r="J34" s="33" t="n">
        <v>0.1412742382271468</v>
      </c>
      <c r="K34" s="33" t="n">
        <v>247.0275689223058</v>
      </c>
      <c r="L34" s="33" t="n">
        <v>607.6764235974201</v>
      </c>
      <c r="M34" s="33" t="n">
        <v>498214.7101718239</v>
      </c>
      <c r="N34" s="33" t="n">
        <v>53006</v>
      </c>
      <c r="O34" s="34" t="n">
        <v>0</v>
      </c>
      <c r="P34" s="34" t="n">
        <v>0.0718757320903836</v>
      </c>
      <c r="Q34" s="34" t="n">
        <v>-0.0005152495181328</v>
      </c>
      <c r="R34" s="31" t="n">
        <v>720</v>
      </c>
      <c r="S34" s="31" t="n">
        <v>200</v>
      </c>
      <c r="T34" s="31" t="inlineStr">
        <is>
          <t>None</t>
        </is>
      </c>
      <c r="U34" s="31" t="inlineStr">
        <is>
          <t>Arterial</t>
        </is>
      </c>
      <c r="V34" s="31" t="inlineStr">
        <is>
          <t>NEW DEVELOPMENT RESULT</t>
        </is>
      </c>
      <c r="W34" s="31" t="n">
        <v>0.0016944688611323</v>
      </c>
    </row>
    <row r="35" ht="24" customHeight="1">
      <c r="A35" s="31" t="inlineStr">
        <is>
          <t>D002__TECO05__8101</t>
        </is>
      </c>
      <c r="B35" s="31" t="inlineStr">
        <is>
          <t>D002</t>
        </is>
      </c>
      <c r="C35" s="31" t="inlineStr">
        <is>
          <t>TECO05</t>
        </is>
      </c>
      <c r="D35" s="31" t="n">
        <v>8101</v>
      </c>
      <c r="E35" s="31" t="n">
        <v>375</v>
      </c>
      <c r="F35" s="33" t="n">
        <v>274.2746666666667</v>
      </c>
      <c r="G35" s="33" t="n">
        <v>709.7937179168531</v>
      </c>
      <c r="H35" s="33" t="n">
        <v>3203.72</v>
      </c>
      <c r="I35" s="33" t="n">
        <v>299</v>
      </c>
      <c r="J35" s="33" t="n">
        <v>0.0986666666666666</v>
      </c>
      <c r="K35" s="33" t="n">
        <v>246.9867724867725</v>
      </c>
      <c r="L35" s="33" t="n">
        <v>607.6499770611385</v>
      </c>
      <c r="M35" s="33" t="n">
        <v>495864.3355479303</v>
      </c>
      <c r="N35" s="33" t="n">
        <v>54441</v>
      </c>
      <c r="O35" s="34" t="n">
        <v>0</v>
      </c>
      <c r="P35" s="34" t="n">
        <v>0.0645459001489055</v>
      </c>
      <c r="Q35" s="34" t="n">
        <v>0.0114954221864662</v>
      </c>
      <c r="R35" s="31" t="n">
        <v>720</v>
      </c>
      <c r="S35" s="31" t="n">
        <v>200</v>
      </c>
      <c r="T35" s="31" t="inlineStr">
        <is>
          <t>None</t>
        </is>
      </c>
      <c r="U35" s="31" t="inlineStr">
        <is>
          <t>Arterial</t>
        </is>
      </c>
      <c r="V35" s="31" t="inlineStr">
        <is>
          <t>NEW DEVELOPMENT RESULT</t>
        </is>
      </c>
      <c r="W35" s="31" t="n">
        <v>0.0016761287980159</v>
      </c>
    </row>
    <row r="36" ht="24" customHeight="1">
      <c r="A36" s="31" t="inlineStr">
        <is>
          <t>D002__TECO05__8102</t>
        </is>
      </c>
      <c r="B36" s="31" t="inlineStr">
        <is>
          <t>D002</t>
        </is>
      </c>
      <c r="C36" s="31" t="inlineStr">
        <is>
          <t>TECO05</t>
        </is>
      </c>
      <c r="D36" s="31" t="n">
        <v>8102</v>
      </c>
      <c r="E36" s="31" t="n">
        <v>392</v>
      </c>
      <c r="F36" s="33" t="n">
        <v>276.8673469387755</v>
      </c>
      <c r="G36" s="33" t="n">
        <v>720.2960581426837</v>
      </c>
      <c r="H36" s="33" t="n">
        <v>3203.720000000001</v>
      </c>
      <c r="I36" s="33" t="n">
        <v>301.45</v>
      </c>
      <c r="J36" s="33" t="n">
        <v>0.125</v>
      </c>
      <c r="K36" s="33" t="n">
        <v>249.0180878552972</v>
      </c>
      <c r="L36" s="33" t="n">
        <v>613.1871982528231</v>
      </c>
      <c r="M36" s="33" t="n">
        <v>519659.5005157745</v>
      </c>
      <c r="N36" s="33" t="n">
        <v>55379</v>
      </c>
      <c r="O36" s="34" t="n">
        <v>0</v>
      </c>
      <c r="P36" s="34" t="n">
        <v>0.067413137222541</v>
      </c>
      <c r="Q36" s="34" t="n">
        <v>-0.0015222509752427</v>
      </c>
      <c r="R36" s="31" t="n">
        <v>720</v>
      </c>
      <c r="S36" s="31" t="n">
        <v>200</v>
      </c>
      <c r="T36" s="31" t="inlineStr">
        <is>
          <t>None</t>
        </is>
      </c>
      <c r="U36" s="31" t="inlineStr">
        <is>
          <t>Arterial</t>
        </is>
      </c>
      <c r="V36" s="31" t="inlineStr">
        <is>
          <t>NEW DEVELOPMENT RESULT</t>
        </is>
      </c>
      <c r="W36" s="31" t="n">
        <v>0.0016815670961003</v>
      </c>
    </row>
    <row r="37" ht="24" customHeight="1">
      <c r="A37" s="31" t="inlineStr">
        <is>
          <t>D002__TECO05__8103</t>
        </is>
      </c>
      <c r="B37" s="31" t="inlineStr">
        <is>
          <t>D002</t>
        </is>
      </c>
      <c r="C37" s="31" t="inlineStr">
        <is>
          <t>TECO05</t>
        </is>
      </c>
      <c r="D37" s="31" t="n">
        <v>8103</v>
      </c>
      <c r="E37" s="31" t="n">
        <v>361</v>
      </c>
      <c r="F37" s="33" t="n">
        <v>273.6426592797784</v>
      </c>
      <c r="G37" s="33" t="n">
        <v>708.4537871369897</v>
      </c>
      <c r="H37" s="33" t="n">
        <v>3203.72</v>
      </c>
      <c r="I37" s="33" t="n">
        <v>298</v>
      </c>
      <c r="J37" s="33" t="n">
        <v>0.1412742382271468</v>
      </c>
      <c r="K37" s="33" t="n">
        <v>247.0275689223058</v>
      </c>
      <c r="L37" s="33" t="n">
        <v>607.6764235974201</v>
      </c>
      <c r="M37" s="33" t="n">
        <v>498214.7101718239</v>
      </c>
      <c r="N37" s="33" t="n">
        <v>53006</v>
      </c>
      <c r="O37" s="34" t="n">
        <v>0</v>
      </c>
      <c r="P37" s="34" t="n">
        <v>0.0718757320903836</v>
      </c>
      <c r="Q37" s="34" t="n">
        <v>-0.0005152495181328</v>
      </c>
      <c r="R37" s="31" t="n">
        <v>720</v>
      </c>
      <c r="S37" s="31" t="n">
        <v>200</v>
      </c>
      <c r="T37" s="31" t="inlineStr">
        <is>
          <t>None</t>
        </is>
      </c>
      <c r="U37" s="31" t="inlineStr">
        <is>
          <t>Arterial</t>
        </is>
      </c>
      <c r="V37" s="31" t="inlineStr">
        <is>
          <t>NEW DEVELOPMENT RESULT</t>
        </is>
      </c>
      <c r="W37" s="31" t="n">
        <v>0.0016944688611323</v>
      </c>
    </row>
    <row r="38" ht="24" customHeight="1">
      <c r="A38" s="31" t="inlineStr">
        <is>
          <t>D002__TECO10__8101</t>
        </is>
      </c>
      <c r="B38" s="31" t="inlineStr">
        <is>
          <t>D002</t>
        </is>
      </c>
      <c r="C38" s="31" t="inlineStr">
        <is>
          <t>TECO10</t>
        </is>
      </c>
      <c r="D38" s="31" t="n">
        <v>8101</v>
      </c>
      <c r="E38" s="31" t="n">
        <v>375</v>
      </c>
      <c r="F38" s="33" t="n">
        <v>274.2746666666667</v>
      </c>
      <c r="G38" s="33" t="n">
        <v>709.7937179168531</v>
      </c>
      <c r="H38" s="33" t="n">
        <v>3203.72</v>
      </c>
      <c r="I38" s="33" t="n">
        <v>299</v>
      </c>
      <c r="J38" s="33" t="n">
        <v>0.0986666666666666</v>
      </c>
      <c r="K38" s="33" t="n">
        <v>246.9867724867725</v>
      </c>
      <c r="L38" s="33" t="n">
        <v>607.6499770611385</v>
      </c>
      <c r="M38" s="33" t="n">
        <v>495864.3355479303</v>
      </c>
      <c r="N38" s="33" t="n">
        <v>54441</v>
      </c>
      <c r="O38" s="34" t="n">
        <v>0</v>
      </c>
      <c r="P38" s="34" t="n">
        <v>0.0645459001489055</v>
      </c>
      <c r="Q38" s="34" t="n">
        <v>0.0114954221864662</v>
      </c>
      <c r="R38" s="31" t="n">
        <v>720</v>
      </c>
      <c r="S38" s="31" t="n">
        <v>200</v>
      </c>
      <c r="T38" s="31" t="inlineStr">
        <is>
          <t>None</t>
        </is>
      </c>
      <c r="U38" s="31" t="inlineStr">
        <is>
          <t>Arterial</t>
        </is>
      </c>
      <c r="V38" s="31" t="inlineStr">
        <is>
          <t>NEW DEVELOPMENT RESULT</t>
        </is>
      </c>
      <c r="W38" s="31" t="n">
        <v>0.0016761287980159</v>
      </c>
    </row>
    <row r="39" ht="24" customHeight="1">
      <c r="A39" s="31" t="inlineStr">
        <is>
          <t>D002__TECO10__8102</t>
        </is>
      </c>
      <c r="B39" s="31" t="inlineStr">
        <is>
          <t>D002</t>
        </is>
      </c>
      <c r="C39" s="31" t="inlineStr">
        <is>
          <t>TECO10</t>
        </is>
      </c>
      <c r="D39" s="31" t="n">
        <v>8102</v>
      </c>
      <c r="E39" s="31" t="n">
        <v>392</v>
      </c>
      <c r="F39" s="33" t="n">
        <v>276.8673469387755</v>
      </c>
      <c r="G39" s="33" t="n">
        <v>720.2960581426837</v>
      </c>
      <c r="H39" s="33" t="n">
        <v>3203.720000000001</v>
      </c>
      <c r="I39" s="33" t="n">
        <v>301.45</v>
      </c>
      <c r="J39" s="33" t="n">
        <v>0.125</v>
      </c>
      <c r="K39" s="33" t="n">
        <v>249.0180878552972</v>
      </c>
      <c r="L39" s="33" t="n">
        <v>613.1871982528231</v>
      </c>
      <c r="M39" s="33" t="n">
        <v>519659.5005157745</v>
      </c>
      <c r="N39" s="33" t="n">
        <v>55379</v>
      </c>
      <c r="O39" s="34" t="n">
        <v>0</v>
      </c>
      <c r="P39" s="34" t="n">
        <v>0.067413137222541</v>
      </c>
      <c r="Q39" s="34" t="n">
        <v>-0.0015222509752427</v>
      </c>
      <c r="R39" s="31" t="n">
        <v>720</v>
      </c>
      <c r="S39" s="31" t="n">
        <v>200</v>
      </c>
      <c r="T39" s="31" t="inlineStr">
        <is>
          <t>None</t>
        </is>
      </c>
      <c r="U39" s="31" t="inlineStr">
        <is>
          <t>Arterial</t>
        </is>
      </c>
      <c r="V39" s="31" t="inlineStr">
        <is>
          <t>NEW DEVELOPMENT RESULT</t>
        </is>
      </c>
      <c r="W39" s="31" t="n">
        <v>0.0016815670961003</v>
      </c>
    </row>
    <row r="40" ht="24" customHeight="1">
      <c r="A40" s="31" t="inlineStr">
        <is>
          <t>D002__TECO10__8103</t>
        </is>
      </c>
      <c r="B40" s="31" t="inlineStr">
        <is>
          <t>D002</t>
        </is>
      </c>
      <c r="C40" s="31" t="inlineStr">
        <is>
          <t>TECO10</t>
        </is>
      </c>
      <c r="D40" s="31" t="n">
        <v>8103</v>
      </c>
      <c r="E40" s="31" t="n">
        <v>361</v>
      </c>
      <c r="F40" s="33" t="n">
        <v>273.6426592797784</v>
      </c>
      <c r="G40" s="33" t="n">
        <v>708.4537871369897</v>
      </c>
      <c r="H40" s="33" t="n">
        <v>3203.72</v>
      </c>
      <c r="I40" s="33" t="n">
        <v>298</v>
      </c>
      <c r="J40" s="33" t="n">
        <v>0.1412742382271468</v>
      </c>
      <c r="K40" s="33" t="n">
        <v>247.0275689223058</v>
      </c>
      <c r="L40" s="33" t="n">
        <v>607.6764235974201</v>
      </c>
      <c r="M40" s="33" t="n">
        <v>498214.7101718239</v>
      </c>
      <c r="N40" s="33" t="n">
        <v>53006</v>
      </c>
      <c r="O40" s="34" t="n">
        <v>0</v>
      </c>
      <c r="P40" s="34" t="n">
        <v>0.0718757320903836</v>
      </c>
      <c r="Q40" s="34" t="n">
        <v>-0.0005152495181328</v>
      </c>
      <c r="R40" s="31" t="n">
        <v>720</v>
      </c>
      <c r="S40" s="31" t="n">
        <v>200</v>
      </c>
      <c r="T40" s="31" t="inlineStr">
        <is>
          <t>None</t>
        </is>
      </c>
      <c r="U40" s="31" t="inlineStr">
        <is>
          <t>Arterial</t>
        </is>
      </c>
      <c r="V40" s="31" t="inlineStr">
        <is>
          <t>NEW DEVELOPMENT RESULT</t>
        </is>
      </c>
      <c r="W40" s="31" t="n">
        <v>0.0016944688611323</v>
      </c>
    </row>
    <row r="41" ht="24" customHeight="1">
      <c r="A41" s="31" t="inlineStr">
        <is>
          <t>D002__TECO15__8101</t>
        </is>
      </c>
      <c r="B41" s="31" t="inlineStr">
        <is>
          <t>D002</t>
        </is>
      </c>
      <c r="C41" s="31" t="inlineStr">
        <is>
          <t>TECO15</t>
        </is>
      </c>
      <c r="D41" s="31" t="n">
        <v>8101</v>
      </c>
      <c r="E41" s="31" t="n">
        <v>375</v>
      </c>
      <c r="F41" s="33" t="n">
        <v>274.2746666666667</v>
      </c>
      <c r="G41" s="33" t="n">
        <v>709.7937179168531</v>
      </c>
      <c r="H41" s="33" t="n">
        <v>3203.72</v>
      </c>
      <c r="I41" s="33" t="n">
        <v>299</v>
      </c>
      <c r="J41" s="33" t="n">
        <v>0.0986666666666666</v>
      </c>
      <c r="K41" s="33" t="n">
        <v>246.9867724867725</v>
      </c>
      <c r="L41" s="33" t="n">
        <v>607.6499770611385</v>
      </c>
      <c r="M41" s="33" t="n">
        <v>495864.3355479303</v>
      </c>
      <c r="N41" s="33" t="n">
        <v>54441</v>
      </c>
      <c r="O41" s="34" t="n">
        <v>0</v>
      </c>
      <c r="P41" s="34" t="n">
        <v>0.0645459001489055</v>
      </c>
      <c r="Q41" s="34" t="n">
        <v>0.0114954221864662</v>
      </c>
      <c r="R41" s="31" t="n">
        <v>720</v>
      </c>
      <c r="S41" s="31" t="n">
        <v>200</v>
      </c>
      <c r="T41" s="31" t="inlineStr">
        <is>
          <t>None</t>
        </is>
      </c>
      <c r="U41" s="31" t="inlineStr">
        <is>
          <t>Arterial</t>
        </is>
      </c>
      <c r="V41" s="31" t="inlineStr">
        <is>
          <t>NEW DEVELOPMENT RESULT</t>
        </is>
      </c>
      <c r="W41" s="31" t="n">
        <v>0.0016761287980159</v>
      </c>
    </row>
    <row r="42" ht="24" customHeight="1">
      <c r="A42" s="31" t="inlineStr">
        <is>
          <t>D002__TECO15__8102</t>
        </is>
      </c>
      <c r="B42" s="31" t="inlineStr">
        <is>
          <t>D002</t>
        </is>
      </c>
      <c r="C42" s="31" t="inlineStr">
        <is>
          <t>TECO15</t>
        </is>
      </c>
      <c r="D42" s="31" t="n">
        <v>8102</v>
      </c>
      <c r="E42" s="31" t="n">
        <v>392</v>
      </c>
      <c r="F42" s="33" t="n">
        <v>276.8673469387755</v>
      </c>
      <c r="G42" s="33" t="n">
        <v>720.2960581426837</v>
      </c>
      <c r="H42" s="33" t="n">
        <v>3203.720000000001</v>
      </c>
      <c r="I42" s="33" t="n">
        <v>301.45</v>
      </c>
      <c r="J42" s="33" t="n">
        <v>0.125</v>
      </c>
      <c r="K42" s="33" t="n">
        <v>249.0180878552972</v>
      </c>
      <c r="L42" s="33" t="n">
        <v>613.1871982528231</v>
      </c>
      <c r="M42" s="33" t="n">
        <v>519659.5005157745</v>
      </c>
      <c r="N42" s="33" t="n">
        <v>55379</v>
      </c>
      <c r="O42" s="34" t="n">
        <v>0</v>
      </c>
      <c r="P42" s="34" t="n">
        <v>0.067413137222541</v>
      </c>
      <c r="Q42" s="34" t="n">
        <v>-0.0015222509752427</v>
      </c>
      <c r="R42" s="31" t="n">
        <v>720</v>
      </c>
      <c r="S42" s="31" t="n">
        <v>200</v>
      </c>
      <c r="T42" s="31" t="inlineStr">
        <is>
          <t>None</t>
        </is>
      </c>
      <c r="U42" s="31" t="inlineStr">
        <is>
          <t>Arterial</t>
        </is>
      </c>
      <c r="V42" s="31" t="inlineStr">
        <is>
          <t>NEW DEVELOPMENT RESULT</t>
        </is>
      </c>
      <c r="W42" s="31" t="n">
        <v>0.0016815670961003</v>
      </c>
    </row>
    <row r="43" ht="24" customHeight="1">
      <c r="A43" s="31" t="inlineStr">
        <is>
          <t>D002__TECO15__8103</t>
        </is>
      </c>
      <c r="B43" s="31" t="inlineStr">
        <is>
          <t>D002</t>
        </is>
      </c>
      <c r="C43" s="31" t="inlineStr">
        <is>
          <t>TECO15</t>
        </is>
      </c>
      <c r="D43" s="31" t="n">
        <v>8103</v>
      </c>
      <c r="E43" s="31" t="n">
        <v>361</v>
      </c>
      <c r="F43" s="33" t="n">
        <v>273.6426592797784</v>
      </c>
      <c r="G43" s="33" t="n">
        <v>708.4537871369897</v>
      </c>
      <c r="H43" s="33" t="n">
        <v>3203.72</v>
      </c>
      <c r="I43" s="33" t="n">
        <v>298</v>
      </c>
      <c r="J43" s="33" t="n">
        <v>0.1412742382271468</v>
      </c>
      <c r="K43" s="33" t="n">
        <v>247.0275689223058</v>
      </c>
      <c r="L43" s="33" t="n">
        <v>607.6764235974201</v>
      </c>
      <c r="M43" s="33" t="n">
        <v>498214.7101718239</v>
      </c>
      <c r="N43" s="33" t="n">
        <v>53006</v>
      </c>
      <c r="O43" s="34" t="n">
        <v>0</v>
      </c>
      <c r="P43" s="34" t="n">
        <v>0.0718757320903836</v>
      </c>
      <c r="Q43" s="34" t="n">
        <v>-0.0005152495181328</v>
      </c>
      <c r="R43" s="31" t="n">
        <v>720</v>
      </c>
      <c r="S43" s="31" t="n">
        <v>200</v>
      </c>
      <c r="T43" s="31" t="inlineStr">
        <is>
          <t>None</t>
        </is>
      </c>
      <c r="U43" s="31" t="inlineStr">
        <is>
          <t>Arterial</t>
        </is>
      </c>
      <c r="V43" s="31" t="inlineStr">
        <is>
          <t>NEW DEVELOPMENT RESULT</t>
        </is>
      </c>
      <c r="W43" s="31" t="n">
        <v>0.0016944688611323</v>
      </c>
    </row>
    <row r="44" ht="24" customHeight="1">
      <c r="A44" s="31" t="inlineStr">
        <is>
          <t>D003__SP__8101</t>
        </is>
      </c>
      <c r="B44" s="31" t="inlineStr">
        <is>
          <t>D003</t>
        </is>
      </c>
      <c r="C44" s="31" t="inlineStr">
        <is>
          <t>SP</t>
        </is>
      </c>
      <c r="D44" s="31" t="n">
        <v>8101</v>
      </c>
      <c r="E44" s="31" t="n">
        <v>375</v>
      </c>
      <c r="F44" s="33" t="n">
        <v>336.7173333333333</v>
      </c>
      <c r="G44" s="33" t="n">
        <v>906.0946823370504</v>
      </c>
      <c r="H44" s="33" t="n">
        <v>3203.72</v>
      </c>
      <c r="I44" s="33" t="n">
        <v>356</v>
      </c>
      <c r="J44" s="33" t="n">
        <v>0.0986666666666666</v>
      </c>
      <c r="K44" s="33" t="n">
        <v>236.9867724867725</v>
      </c>
      <c r="L44" s="33" t="n">
        <v>578.6863631529501</v>
      </c>
      <c r="M44" s="33" t="n">
        <v>558528.951148209</v>
      </c>
      <c r="N44" s="33" t="n">
        <v>78535</v>
      </c>
      <c r="O44" s="34" t="n">
        <v>0</v>
      </c>
      <c r="P44" s="34" t="n">
        <v>0.0466653661994221</v>
      </c>
      <c r="Q44" s="34" t="n">
        <v>0.0150335875234159</v>
      </c>
      <c r="R44" s="31" t="n">
        <v>720</v>
      </c>
      <c r="S44" s="31" t="n">
        <v>200</v>
      </c>
      <c r="T44" s="31" t="inlineStr">
        <is>
          <t>U</t>
        </is>
      </c>
      <c r="U44" s="31" t="inlineStr">
        <is>
          <t>Balanced</t>
        </is>
      </c>
      <c r="V44" s="31" t="inlineStr">
        <is>
          <t>NEW DEVELOPMENT RESULT</t>
        </is>
      </c>
      <c r="W44" s="31" t="n">
        <v>0.00145154017704</v>
      </c>
    </row>
    <row r="45" ht="24" customHeight="1">
      <c r="A45" s="31" t="inlineStr">
        <is>
          <t>D003__SP__8102</t>
        </is>
      </c>
      <c r="B45" s="31" t="inlineStr">
        <is>
          <t>D003</t>
        </is>
      </c>
      <c r="C45" s="31" t="inlineStr">
        <is>
          <t>SP</t>
        </is>
      </c>
      <c r="D45" s="31" t="n">
        <v>8102</v>
      </c>
      <c r="E45" s="31" t="n">
        <v>392</v>
      </c>
      <c r="F45" s="33" t="n">
        <v>337.4872448979592</v>
      </c>
      <c r="G45" s="33" t="n">
        <v>910.7497573812284</v>
      </c>
      <c r="H45" s="33" t="n">
        <v>3203.720000000001</v>
      </c>
      <c r="I45" s="33" t="n">
        <v>357</v>
      </c>
      <c r="J45" s="33" t="n">
        <v>0.125</v>
      </c>
      <c r="K45" s="33" t="n">
        <v>238.7777777777778</v>
      </c>
      <c r="L45" s="33" t="n">
        <v>583.9838383188488</v>
      </c>
      <c r="M45" s="33" t="n">
        <v>583015.6503228361</v>
      </c>
      <c r="N45" s="33" t="n">
        <v>78516</v>
      </c>
      <c r="O45" s="34" t="n">
        <v>0</v>
      </c>
      <c r="P45" s="34" t="n">
        <v>0.0429209820352331</v>
      </c>
      <c r="Q45" s="34" t="n">
        <v>0.0041563172575406</v>
      </c>
      <c r="R45" s="31" t="n">
        <v>720</v>
      </c>
      <c r="S45" s="31" t="n">
        <v>200</v>
      </c>
      <c r="T45" s="31" t="inlineStr">
        <is>
          <t>U</t>
        </is>
      </c>
      <c r="U45" s="31" t="inlineStr">
        <is>
          <t>Balanced</t>
        </is>
      </c>
      <c r="V45" s="31" t="inlineStr">
        <is>
          <t>NEW DEVELOPMENT RESULT</t>
        </is>
      </c>
      <c r="W45" s="31" t="n">
        <v>0.0014535983643061</v>
      </c>
    </row>
    <row r="46" ht="24" customHeight="1">
      <c r="A46" s="31" t="inlineStr">
        <is>
          <t>D003__SP__8103</t>
        </is>
      </c>
      <c r="B46" s="31" t="inlineStr">
        <is>
          <t>D003</t>
        </is>
      </c>
      <c r="C46" s="31" t="inlineStr">
        <is>
          <t>SP</t>
        </is>
      </c>
      <c r="D46" s="31" t="n">
        <v>8103</v>
      </c>
      <c r="E46" s="31" t="n">
        <v>361</v>
      </c>
      <c r="F46" s="33" t="n">
        <v>336.7091412742382</v>
      </c>
      <c r="G46" s="33" t="n">
        <v>906.86264443067</v>
      </c>
      <c r="H46" s="33" t="n">
        <v>3203.72</v>
      </c>
      <c r="I46" s="33" t="n">
        <v>356</v>
      </c>
      <c r="J46" s="33" t="n">
        <v>0.1412742382271468</v>
      </c>
      <c r="K46" s="33" t="n">
        <v>237.0275689223058</v>
      </c>
      <c r="L46" s="33" t="n">
        <v>579.2319598187086</v>
      </c>
      <c r="M46" s="33" t="n">
        <v>558490.9666071367</v>
      </c>
      <c r="N46" s="33" t="n">
        <v>75179</v>
      </c>
      <c r="O46" s="34" t="n">
        <v>0</v>
      </c>
      <c r="P46" s="34" t="n">
        <v>0.0432906112738029</v>
      </c>
      <c r="Q46" s="34" t="n">
        <v>0.005316134053717</v>
      </c>
      <c r="R46" s="31" t="n">
        <v>720</v>
      </c>
      <c r="S46" s="31" t="n">
        <v>200</v>
      </c>
      <c r="T46" s="31" t="inlineStr">
        <is>
          <t>U</t>
        </is>
      </c>
      <c r="U46" s="31" t="inlineStr">
        <is>
          <t>Balanced</t>
        </is>
      </c>
      <c r="V46" s="31" t="inlineStr">
        <is>
          <t>NEW DEVELOPMENT RESULT</t>
        </is>
      </c>
      <c r="W46" s="31" t="n">
        <v>0.0014707610363548</v>
      </c>
    </row>
    <row r="47" ht="24" customHeight="1">
      <c r="A47" s="31" t="inlineStr">
        <is>
          <t>D003__DTT__8101</t>
        </is>
      </c>
      <c r="B47" s="31" t="inlineStr">
        <is>
          <t>D003</t>
        </is>
      </c>
      <c r="C47" s="31" t="inlineStr">
        <is>
          <t>DTT</t>
        </is>
      </c>
      <c r="D47" s="31" t="n">
        <v>8101</v>
      </c>
      <c r="E47" s="31" t="n">
        <v>375</v>
      </c>
      <c r="F47" s="33" t="n">
        <v>363.392</v>
      </c>
      <c r="G47" s="33" t="n">
        <v>979.1406258181232</v>
      </c>
      <c r="H47" s="33" t="n">
        <v>3584.925866666667</v>
      </c>
      <c r="I47" s="33" t="n">
        <v>421.3</v>
      </c>
      <c r="J47" s="33" t="n">
        <v>0.0986666666666666</v>
      </c>
      <c r="K47" s="33" t="n">
        <v>236.9867724867725</v>
      </c>
      <c r="L47" s="33" t="n">
        <v>578.6863631529501</v>
      </c>
      <c r="M47" s="33" t="n">
        <v>585921.1799536113</v>
      </c>
      <c r="N47" s="33" t="n">
        <v>74607</v>
      </c>
      <c r="O47" s="34" t="n">
        <v>0.6362384418650403</v>
      </c>
      <c r="P47" s="34" t="n">
        <v>0.1635841625633886</v>
      </c>
      <c r="Q47" s="34" t="n">
        <v>0.1057981893679926</v>
      </c>
      <c r="R47" s="31" t="n">
        <v>720</v>
      </c>
      <c r="S47" s="31" t="n">
        <v>200</v>
      </c>
      <c r="T47" s="31" t="inlineStr">
        <is>
          <t>U</t>
        </is>
      </c>
      <c r="U47" s="31" t="inlineStr">
        <is>
          <t>Balanced</t>
        </is>
      </c>
      <c r="V47" s="31" t="inlineStr">
        <is>
          <t>NEW DEVELOPMENT RESULT</t>
        </is>
      </c>
      <c r="W47" s="31" t="n">
        <v>0.001356628196548</v>
      </c>
    </row>
    <row r="48" ht="24" customHeight="1">
      <c r="A48" s="31" t="inlineStr">
        <is>
          <t>D003__DTT__8102</t>
        </is>
      </c>
      <c r="B48" s="31" t="inlineStr">
        <is>
          <t>D003</t>
        </is>
      </c>
      <c r="C48" s="31" t="inlineStr">
        <is>
          <t>DTT</t>
        </is>
      </c>
      <c r="D48" s="31" t="n">
        <v>8102</v>
      </c>
      <c r="E48" s="31" t="n">
        <v>392</v>
      </c>
      <c r="F48" s="33" t="n">
        <v>370.5969387755102</v>
      </c>
      <c r="G48" s="33" t="n">
        <v>992.2405429771482</v>
      </c>
      <c r="H48" s="33" t="n">
        <v>3615.797908163266</v>
      </c>
      <c r="I48" s="33" t="n">
        <v>442</v>
      </c>
      <c r="J48" s="33" t="n">
        <v>0.125</v>
      </c>
      <c r="K48" s="33" t="n">
        <v>238.7777777777778</v>
      </c>
      <c r="L48" s="33" t="n">
        <v>583.9838383188488</v>
      </c>
      <c r="M48" s="33" t="n">
        <v>614960.0382764366</v>
      </c>
      <c r="N48" s="33" t="n">
        <v>74377</v>
      </c>
      <c r="O48" s="34" t="n">
        <v>0.6946593001841621</v>
      </c>
      <c r="P48" s="34" t="n">
        <v>0.1466387524691626</v>
      </c>
      <c r="Q48" s="34" t="n">
        <v>0.1085134874156561</v>
      </c>
      <c r="R48" s="31" t="n">
        <v>720</v>
      </c>
      <c r="S48" s="31" t="n">
        <v>200</v>
      </c>
      <c r="T48" s="31" t="inlineStr">
        <is>
          <t>U</t>
        </is>
      </c>
      <c r="U48" s="31" t="inlineStr">
        <is>
          <t>Balanced</t>
        </is>
      </c>
      <c r="V48" s="31" t="inlineStr">
        <is>
          <t>NEW DEVELOPMENT RESULT</t>
        </is>
      </c>
      <c r="W48" s="31" t="n">
        <v>0.001370177752643</v>
      </c>
    </row>
    <row r="49" ht="24" customHeight="1">
      <c r="A49" s="31" t="inlineStr">
        <is>
          <t>D003__DTT__8103</t>
        </is>
      </c>
      <c r="B49" s="31" t="inlineStr">
        <is>
          <t>D003</t>
        </is>
      </c>
      <c r="C49" s="31" t="inlineStr">
        <is>
          <t>DTT</t>
        </is>
      </c>
      <c r="D49" s="31" t="n">
        <v>8103</v>
      </c>
      <c r="E49" s="31" t="n">
        <v>361</v>
      </c>
      <c r="F49" s="33" t="n">
        <v>356.3268698060942</v>
      </c>
      <c r="G49" s="33" t="n">
        <v>957.8055804091128</v>
      </c>
      <c r="H49" s="33" t="n">
        <v>3590.475041551247</v>
      </c>
      <c r="I49" s="33" t="n">
        <v>398</v>
      </c>
      <c r="J49" s="33" t="n">
        <v>0.1412742382271468</v>
      </c>
      <c r="K49" s="33" t="n">
        <v>237.0275689223058</v>
      </c>
      <c r="L49" s="33" t="n">
        <v>579.2319598187086</v>
      </c>
      <c r="M49" s="33" t="n">
        <v>576881.3664953545</v>
      </c>
      <c r="N49" s="33" t="n">
        <v>69141</v>
      </c>
      <c r="O49" s="34" t="n">
        <v>0.6739218877135883</v>
      </c>
      <c r="P49" s="34" t="n">
        <v>0.1611196691448148</v>
      </c>
      <c r="Q49" s="34" t="n">
        <v>0.1324866068573722</v>
      </c>
      <c r="R49" s="31" t="n">
        <v>720</v>
      </c>
      <c r="S49" s="31" t="n">
        <v>200</v>
      </c>
      <c r="T49" s="31" t="inlineStr">
        <is>
          <t>U</t>
        </is>
      </c>
      <c r="U49" s="31" t="inlineStr">
        <is>
          <t>Balanced</t>
        </is>
      </c>
      <c r="V49" s="31" t="inlineStr">
        <is>
          <t>NEW DEVELOPMENT RESULT</t>
        </is>
      </c>
      <c r="W49" s="31" t="n">
        <v>0.0013988205483813</v>
      </c>
    </row>
    <row r="50" ht="24" customHeight="1">
      <c r="A50" s="31" t="inlineStr">
        <is>
          <t>D003__ECO__8101</t>
        </is>
      </c>
      <c r="B50" s="31" t="inlineStr">
        <is>
          <t>D003</t>
        </is>
      </c>
      <c r="C50" s="31" t="inlineStr">
        <is>
          <t>ECO</t>
        </is>
      </c>
      <c r="D50" s="31" t="n">
        <v>8101</v>
      </c>
      <c r="E50" s="31" t="n">
        <v>375</v>
      </c>
      <c r="F50" s="33" t="n">
        <v>336.7173333333333</v>
      </c>
      <c r="G50" s="33" t="n">
        <v>906.0946823370504</v>
      </c>
      <c r="H50" s="33" t="n">
        <v>3203.72</v>
      </c>
      <c r="I50" s="33" t="n">
        <v>356</v>
      </c>
      <c r="J50" s="33" t="n">
        <v>0.0986666666666666</v>
      </c>
      <c r="K50" s="33" t="n">
        <v>236.9867724867725</v>
      </c>
      <c r="L50" s="33" t="n">
        <v>578.6863631529501</v>
      </c>
      <c r="M50" s="33" t="n">
        <v>558528.951148209</v>
      </c>
      <c r="N50" s="33" t="n">
        <v>78535</v>
      </c>
      <c r="O50" s="34" t="n">
        <v>0</v>
      </c>
      <c r="P50" s="34" t="n">
        <v>0.0466653661994221</v>
      </c>
      <c r="Q50" s="34" t="n">
        <v>0.0150335875234159</v>
      </c>
      <c r="R50" s="31" t="n">
        <v>720</v>
      </c>
      <c r="S50" s="31" t="n">
        <v>200</v>
      </c>
      <c r="T50" s="31" t="inlineStr">
        <is>
          <t>U</t>
        </is>
      </c>
      <c r="U50" s="31" t="inlineStr">
        <is>
          <t>Balanced</t>
        </is>
      </c>
      <c r="V50" s="31" t="inlineStr">
        <is>
          <t>NEW DEVELOPMENT RESULT</t>
        </is>
      </c>
      <c r="W50" s="31" t="n">
        <v>0.00145154017704</v>
      </c>
    </row>
    <row r="51" ht="24" customHeight="1">
      <c r="A51" s="31" t="inlineStr">
        <is>
          <t>D003__ECO__8102</t>
        </is>
      </c>
      <c r="B51" s="31" t="inlineStr">
        <is>
          <t>D003</t>
        </is>
      </c>
      <c r="C51" s="31" t="inlineStr">
        <is>
          <t>ECO</t>
        </is>
      </c>
      <c r="D51" s="31" t="n">
        <v>8102</v>
      </c>
      <c r="E51" s="31" t="n">
        <v>392</v>
      </c>
      <c r="F51" s="33" t="n">
        <v>337.4872448979592</v>
      </c>
      <c r="G51" s="33" t="n">
        <v>910.7497573812284</v>
      </c>
      <c r="H51" s="33" t="n">
        <v>3203.720000000001</v>
      </c>
      <c r="I51" s="33" t="n">
        <v>357</v>
      </c>
      <c r="J51" s="33" t="n">
        <v>0.125</v>
      </c>
      <c r="K51" s="33" t="n">
        <v>238.7777777777778</v>
      </c>
      <c r="L51" s="33" t="n">
        <v>583.9838383188488</v>
      </c>
      <c r="M51" s="33" t="n">
        <v>583015.6503228361</v>
      </c>
      <c r="N51" s="33" t="n">
        <v>78516</v>
      </c>
      <c r="O51" s="34" t="n">
        <v>0</v>
      </c>
      <c r="P51" s="34" t="n">
        <v>0.0429209820352331</v>
      </c>
      <c r="Q51" s="34" t="n">
        <v>0.0041563172575406</v>
      </c>
      <c r="R51" s="31" t="n">
        <v>720</v>
      </c>
      <c r="S51" s="31" t="n">
        <v>200</v>
      </c>
      <c r="T51" s="31" t="inlineStr">
        <is>
          <t>U</t>
        </is>
      </c>
      <c r="U51" s="31" t="inlineStr">
        <is>
          <t>Balanced</t>
        </is>
      </c>
      <c r="V51" s="31" t="inlineStr">
        <is>
          <t>NEW DEVELOPMENT RESULT</t>
        </is>
      </c>
      <c r="W51" s="31" t="n">
        <v>0.0014535983643061</v>
      </c>
    </row>
    <row r="52" ht="24" customHeight="1">
      <c r="A52" s="31" t="inlineStr">
        <is>
          <t>D003__ECO__8103</t>
        </is>
      </c>
      <c r="B52" s="31" t="inlineStr">
        <is>
          <t>D003</t>
        </is>
      </c>
      <c r="C52" s="31" t="inlineStr">
        <is>
          <t>ECO</t>
        </is>
      </c>
      <c r="D52" s="31" t="n">
        <v>8103</v>
      </c>
      <c r="E52" s="31" t="n">
        <v>361</v>
      </c>
      <c r="F52" s="33" t="n">
        <v>336.7091412742382</v>
      </c>
      <c r="G52" s="33" t="n">
        <v>906.86264443067</v>
      </c>
      <c r="H52" s="33" t="n">
        <v>3203.72</v>
      </c>
      <c r="I52" s="33" t="n">
        <v>356</v>
      </c>
      <c r="J52" s="33" t="n">
        <v>0.1412742382271468</v>
      </c>
      <c r="K52" s="33" t="n">
        <v>237.0275689223058</v>
      </c>
      <c r="L52" s="33" t="n">
        <v>579.2319598187086</v>
      </c>
      <c r="M52" s="33" t="n">
        <v>558490.9666071367</v>
      </c>
      <c r="N52" s="33" t="n">
        <v>75179</v>
      </c>
      <c r="O52" s="34" t="n">
        <v>0</v>
      </c>
      <c r="P52" s="34" t="n">
        <v>0.0432906112738029</v>
      </c>
      <c r="Q52" s="34" t="n">
        <v>0.005316134053717</v>
      </c>
      <c r="R52" s="31" t="n">
        <v>720</v>
      </c>
      <c r="S52" s="31" t="n">
        <v>200</v>
      </c>
      <c r="T52" s="31" t="inlineStr">
        <is>
          <t>U</t>
        </is>
      </c>
      <c r="U52" s="31" t="inlineStr">
        <is>
          <t>Balanced</t>
        </is>
      </c>
      <c r="V52" s="31" t="inlineStr">
        <is>
          <t>NEW DEVELOPMENT RESULT</t>
        </is>
      </c>
      <c r="W52" s="31" t="n">
        <v>0.0014707610363548</v>
      </c>
    </row>
    <row r="53" ht="24" customHeight="1">
      <c r="A53" s="31" t="inlineStr">
        <is>
          <t>D003__TECO05__8101</t>
        </is>
      </c>
      <c r="B53" s="31" t="inlineStr">
        <is>
          <t>D003</t>
        </is>
      </c>
      <c r="C53" s="31" t="inlineStr">
        <is>
          <t>TECO05</t>
        </is>
      </c>
      <c r="D53" s="31" t="n">
        <v>8101</v>
      </c>
      <c r="E53" s="31" t="n">
        <v>375</v>
      </c>
      <c r="F53" s="33" t="n">
        <v>358.368</v>
      </c>
      <c r="G53" s="33" t="n">
        <v>969.5121076013525</v>
      </c>
      <c r="H53" s="33" t="n">
        <v>3544.328346666667</v>
      </c>
      <c r="I53" s="33" t="n">
        <v>416</v>
      </c>
      <c r="J53" s="33" t="n">
        <v>0.0986666666666666</v>
      </c>
      <c r="K53" s="33" t="n">
        <v>236.9867724867725</v>
      </c>
      <c r="L53" s="33" t="n">
        <v>578.6863631529501</v>
      </c>
      <c r="M53" s="33" t="n">
        <v>582310.4856223222</v>
      </c>
      <c r="N53" s="33" t="n">
        <v>74777</v>
      </c>
      <c r="O53" s="34" t="n">
        <v>0.5589660743134087</v>
      </c>
      <c r="P53" s="34" t="n">
        <v>0.1669516994729956</v>
      </c>
      <c r="Q53" s="34" t="n">
        <v>0.1029252635965035</v>
      </c>
      <c r="R53" s="31" t="n">
        <v>720</v>
      </c>
      <c r="S53" s="31" t="n">
        <v>200</v>
      </c>
      <c r="T53" s="31" t="inlineStr">
        <is>
          <t>U</t>
        </is>
      </c>
      <c r="U53" s="31" t="inlineStr">
        <is>
          <t>Balanced</t>
        </is>
      </c>
      <c r="V53" s="31" t="inlineStr">
        <is>
          <t>NEW DEVELOPMENT RESULT</t>
        </is>
      </c>
      <c r="W53" s="31" t="n">
        <v>0.0013502019526599</v>
      </c>
    </row>
    <row r="54" ht="24" customHeight="1">
      <c r="A54" s="31" t="inlineStr">
        <is>
          <t>D003__TECO05__8102</t>
        </is>
      </c>
      <c r="B54" s="31" t="inlineStr">
        <is>
          <t>D003</t>
        </is>
      </c>
      <c r="C54" s="31" t="inlineStr">
        <is>
          <t>TECO05</t>
        </is>
      </c>
      <c r="D54" s="31" t="n">
        <v>8102</v>
      </c>
      <c r="E54" s="31" t="n">
        <v>392</v>
      </c>
      <c r="F54" s="33" t="n">
        <v>356.5688775510204</v>
      </c>
      <c r="G54" s="33" t="n">
        <v>966.3843577244436</v>
      </c>
      <c r="H54" s="33" t="n">
        <v>3556.049515306123</v>
      </c>
      <c r="I54" s="33" t="n">
        <v>400.45</v>
      </c>
      <c r="J54" s="33" t="n">
        <v>0.125</v>
      </c>
      <c r="K54" s="33" t="n">
        <v>238.780361757106</v>
      </c>
      <c r="L54" s="33" t="n">
        <v>583.9909913148641</v>
      </c>
      <c r="M54" s="33" t="n">
        <v>604827.1818668342</v>
      </c>
      <c r="N54" s="33" t="n">
        <v>73299</v>
      </c>
      <c r="O54" s="34" t="n">
        <v>0.5818841964456335</v>
      </c>
      <c r="P54" s="34" t="n">
        <v>0.1363876807209543</v>
      </c>
      <c r="Q54" s="34" t="n">
        <v>0.09039536270265</v>
      </c>
      <c r="R54" s="31" t="n">
        <v>720</v>
      </c>
      <c r="S54" s="31" t="n">
        <v>200</v>
      </c>
      <c r="T54" s="31" t="inlineStr">
        <is>
          <t>U</t>
        </is>
      </c>
      <c r="U54" s="31" t="inlineStr">
        <is>
          <t>Balanced</t>
        </is>
      </c>
      <c r="V54" s="31" t="inlineStr">
        <is>
          <t>NEW DEVELOPMENT RESULT</t>
        </is>
      </c>
      <c r="W54" s="31" t="n">
        <v>0.0013645219055734</v>
      </c>
    </row>
    <row r="55" ht="24" customHeight="1">
      <c r="A55" s="31" t="inlineStr">
        <is>
          <t>D003__TECO05__8103</t>
        </is>
      </c>
      <c r="B55" s="31" t="inlineStr">
        <is>
          <t>D003</t>
        </is>
      </c>
      <c r="C55" s="31" t="inlineStr">
        <is>
          <t>TECO05</t>
        </is>
      </c>
      <c r="D55" s="31" t="n">
        <v>8103</v>
      </c>
      <c r="E55" s="31" t="n">
        <v>361</v>
      </c>
      <c r="F55" s="33" t="n">
        <v>355.4653739612189</v>
      </c>
      <c r="G55" s="33" t="n">
        <v>960.3307759455706</v>
      </c>
      <c r="H55" s="33" t="n">
        <v>3569.018975069253</v>
      </c>
      <c r="I55" s="33" t="n">
        <v>400</v>
      </c>
      <c r="J55" s="33" t="n">
        <v>0.1412742382271468</v>
      </c>
      <c r="K55" s="33" t="n">
        <v>237.0275689223058</v>
      </c>
      <c r="L55" s="33" t="n">
        <v>579.2319598187086</v>
      </c>
      <c r="M55" s="33" t="n">
        <v>577792.9620840157</v>
      </c>
      <c r="N55" s="33" t="n">
        <v>69802</v>
      </c>
      <c r="O55" s="34" t="n">
        <v>0.6167491749174917</v>
      </c>
      <c r="P55" s="34" t="n">
        <v>0.1290734355140443</v>
      </c>
      <c r="Q55" s="34" t="n">
        <v>0.0972401147661261</v>
      </c>
      <c r="R55" s="31" t="n">
        <v>720</v>
      </c>
      <c r="S55" s="31" t="n">
        <v>200</v>
      </c>
      <c r="T55" s="31" t="inlineStr">
        <is>
          <t>U</t>
        </is>
      </c>
      <c r="U55" s="31" t="inlineStr">
        <is>
          <t>Balanced</t>
        </is>
      </c>
      <c r="V55" s="31" t="inlineStr">
        <is>
          <t>NEW DEVELOPMENT RESULT</t>
        </is>
      </c>
      <c r="W55" s="31" t="n">
        <v>0.001388314644307</v>
      </c>
    </row>
    <row r="56" ht="24" customHeight="1">
      <c r="A56" s="31" t="inlineStr">
        <is>
          <t>D003__TECO10__8101</t>
        </is>
      </c>
      <c r="B56" s="31" t="inlineStr">
        <is>
          <t>D003</t>
        </is>
      </c>
      <c r="C56" s="31" t="inlineStr">
        <is>
          <t>TECO10</t>
        </is>
      </c>
      <c r="D56" s="31" t="n">
        <v>8101</v>
      </c>
      <c r="E56" s="31" t="n">
        <v>375</v>
      </c>
      <c r="F56" s="33" t="n">
        <v>361</v>
      </c>
      <c r="G56" s="33" t="n">
        <v>979.5014282864436</v>
      </c>
      <c r="H56" s="33" t="n">
        <v>3521.602666666667</v>
      </c>
      <c r="I56" s="33" t="n">
        <v>426</v>
      </c>
      <c r="J56" s="33" t="n">
        <v>0.0986666666666666</v>
      </c>
      <c r="K56" s="33" t="n">
        <v>236.9867724867725</v>
      </c>
      <c r="L56" s="33" t="n">
        <v>578.6863631529501</v>
      </c>
      <c r="M56" s="33" t="n">
        <v>586056.4808792315</v>
      </c>
      <c r="N56" s="33" t="n">
        <v>76449</v>
      </c>
      <c r="O56" s="34" t="n">
        <v>0.5007164790174002</v>
      </c>
      <c r="P56" s="34" t="n">
        <v>0.1439646867915362</v>
      </c>
      <c r="Q56" s="34" t="n">
        <v>0.06747651712372051</v>
      </c>
      <c r="R56" s="31" t="n">
        <v>720</v>
      </c>
      <c r="S56" s="31" t="n">
        <v>200</v>
      </c>
      <c r="T56" s="31" t="inlineStr">
        <is>
          <t>U</t>
        </is>
      </c>
      <c r="U56" s="31" t="inlineStr">
        <is>
          <t>Balanced</t>
        </is>
      </c>
      <c r="V56" s="31" t="inlineStr">
        <is>
          <t>NEW DEVELOPMENT RESULT</t>
        </is>
      </c>
      <c r="W56" s="31" t="n">
        <v>0.0013488913184683</v>
      </c>
    </row>
    <row r="57" ht="24" customHeight="1">
      <c r="A57" s="31" t="inlineStr">
        <is>
          <t>D003__TECO10__8102</t>
        </is>
      </c>
      <c r="B57" s="31" t="inlineStr">
        <is>
          <t>D003</t>
        </is>
      </c>
      <c r="C57" s="31" t="inlineStr">
        <is>
          <t>TECO10</t>
        </is>
      </c>
      <c r="D57" s="31" t="n">
        <v>8102</v>
      </c>
      <c r="E57" s="31" t="n">
        <v>392</v>
      </c>
      <c r="F57" s="33" t="n">
        <v>354.7551020408163</v>
      </c>
      <c r="G57" s="33" t="n">
        <v>966.1918992861029</v>
      </c>
      <c r="H57" s="33" t="n">
        <v>3522.221530612245</v>
      </c>
      <c r="I57" s="33" t="n">
        <v>397.9</v>
      </c>
      <c r="J57" s="33" t="n">
        <v>0.125</v>
      </c>
      <c r="K57" s="33" t="n">
        <v>238.7777777777778</v>
      </c>
      <c r="L57" s="33" t="n">
        <v>583.9838383188488</v>
      </c>
      <c r="M57" s="33" t="n">
        <v>604748.9699495469</v>
      </c>
      <c r="N57" s="33" t="n">
        <v>74220</v>
      </c>
      <c r="O57" s="34" t="n">
        <v>0.5225137039937353</v>
      </c>
      <c r="P57" s="34" t="n">
        <v>0.1136421284480469</v>
      </c>
      <c r="Q57" s="34" t="n">
        <v>0.0591352799869206</v>
      </c>
      <c r="R57" s="31" t="n">
        <v>720</v>
      </c>
      <c r="S57" s="31" t="n">
        <v>200</v>
      </c>
      <c r="T57" s="31" t="inlineStr">
        <is>
          <t>U</t>
        </is>
      </c>
      <c r="U57" s="31" t="inlineStr">
        <is>
          <t>Balanced</t>
        </is>
      </c>
      <c r="V57" s="31" t="inlineStr">
        <is>
          <t>NEW DEVELOPMENT RESULT</t>
        </is>
      </c>
      <c r="W57" s="31" t="n">
        <v>0.0013621395070981</v>
      </c>
    </row>
    <row r="58" ht="24" customHeight="1">
      <c r="A58" s="31" t="inlineStr">
        <is>
          <t>D003__TECO10__8103</t>
        </is>
      </c>
      <c r="B58" s="31" t="inlineStr">
        <is>
          <t>D003</t>
        </is>
      </c>
      <c r="C58" s="31" t="inlineStr">
        <is>
          <t>TECO10</t>
        </is>
      </c>
      <c r="D58" s="31" t="n">
        <v>8103</v>
      </c>
      <c r="E58" s="31" t="n">
        <v>361</v>
      </c>
      <c r="F58" s="33" t="n">
        <v>352.224376731302</v>
      </c>
      <c r="G58" s="33" t="n">
        <v>956.5820187012664</v>
      </c>
      <c r="H58" s="33" t="n">
        <v>3526.978725761774</v>
      </c>
      <c r="I58" s="33" t="n">
        <v>393</v>
      </c>
      <c r="J58" s="33" t="n">
        <v>0.1412742382271468</v>
      </c>
      <c r="K58" s="33" t="n">
        <v>237.0275689223058</v>
      </c>
      <c r="L58" s="33" t="n">
        <v>579.2319598187086</v>
      </c>
      <c r="M58" s="33" t="n">
        <v>576439.6607188219</v>
      </c>
      <c r="N58" s="33" t="n">
        <v>70616</v>
      </c>
      <c r="O58" s="34" t="n">
        <v>0.5310710498409332</v>
      </c>
      <c r="P58" s="34" t="n">
        <v>0.1105159979929592</v>
      </c>
      <c r="Q58" s="34" t="n">
        <v>0.06897558421673571</v>
      </c>
      <c r="R58" s="31" t="n">
        <v>720</v>
      </c>
      <c r="S58" s="31" t="n">
        <v>200</v>
      </c>
      <c r="T58" s="31" t="inlineStr">
        <is>
          <t>U</t>
        </is>
      </c>
      <c r="U58" s="31" t="inlineStr">
        <is>
          <t>Balanced</t>
        </is>
      </c>
      <c r="V58" s="31" t="inlineStr">
        <is>
          <t>NEW DEVELOPMENT RESULT</t>
        </is>
      </c>
      <c r="W58" s="31" t="n">
        <v>0.0013812854949772</v>
      </c>
    </row>
    <row r="59" ht="24" customHeight="1">
      <c r="A59" s="31" t="inlineStr">
        <is>
          <t>D003__TECO15__8101</t>
        </is>
      </c>
      <c r="B59" s="31" t="inlineStr">
        <is>
          <t>D003</t>
        </is>
      </c>
      <c r="C59" s="31" t="inlineStr">
        <is>
          <t>TECO15</t>
        </is>
      </c>
      <c r="D59" s="31" t="n">
        <v>8101</v>
      </c>
      <c r="E59" s="31" t="n">
        <v>375</v>
      </c>
      <c r="F59" s="33" t="n">
        <v>351.192</v>
      </c>
      <c r="G59" s="33" t="n">
        <v>951.3733206610382</v>
      </c>
      <c r="H59" s="33" t="n">
        <v>3523.200533333333</v>
      </c>
      <c r="I59" s="33" t="n">
        <v>396.6</v>
      </c>
      <c r="J59" s="33" t="n">
        <v>0.0986666666666666</v>
      </c>
      <c r="K59" s="33" t="n">
        <v>237.031746031746</v>
      </c>
      <c r="L59" s="33" t="n">
        <v>578.8108605022281</v>
      </c>
      <c r="M59" s="33" t="n">
        <v>575555.5005177315</v>
      </c>
      <c r="N59" s="33" t="n">
        <v>73684</v>
      </c>
      <c r="O59" s="34" t="n">
        <v>0.3503366659865333</v>
      </c>
      <c r="P59" s="34" t="n">
        <v>0.097246226054615</v>
      </c>
      <c r="Q59" s="34" t="n">
        <v>0.0504456217478531</v>
      </c>
      <c r="R59" s="31" t="n">
        <v>720</v>
      </c>
      <c r="S59" s="31" t="n">
        <v>200</v>
      </c>
      <c r="T59" s="31" t="inlineStr">
        <is>
          <t>U</t>
        </is>
      </c>
      <c r="U59" s="31" t="inlineStr">
        <is>
          <t>Balanced</t>
        </is>
      </c>
      <c r="V59" s="31" t="inlineStr">
        <is>
          <t>NEW DEVELOPMENT RESULT</t>
        </is>
      </c>
      <c r="W59" s="31" t="n">
        <v>0.0013583707999037</v>
      </c>
    </row>
    <row r="60" ht="24" customHeight="1">
      <c r="A60" s="31" t="inlineStr">
        <is>
          <t>D003__TECO15__8102</t>
        </is>
      </c>
      <c r="B60" s="31" t="inlineStr">
        <is>
          <t>D003</t>
        </is>
      </c>
      <c r="C60" s="31" t="inlineStr">
        <is>
          <t>TECO15</t>
        </is>
      </c>
      <c r="D60" s="31" t="n">
        <v>8102</v>
      </c>
      <c r="E60" s="31" t="n">
        <v>392</v>
      </c>
      <c r="F60" s="33" t="n">
        <v>352.7525510204082</v>
      </c>
      <c r="G60" s="33" t="n">
        <v>956.9976592588944</v>
      </c>
      <c r="H60" s="33" t="n">
        <v>3512.093290816327</v>
      </c>
      <c r="I60" s="33" t="n">
        <v>395.45</v>
      </c>
      <c r="J60" s="33" t="n">
        <v>0.125</v>
      </c>
      <c r="K60" s="33" t="n">
        <v>238.8682170542636</v>
      </c>
      <c r="L60" s="33" t="n">
        <v>584.1728688893688</v>
      </c>
      <c r="M60" s="33" t="n">
        <v>601217.9826896724</v>
      </c>
      <c r="N60" s="33" t="n">
        <v>74050</v>
      </c>
      <c r="O60" s="34" t="n">
        <v>0.4880187025131502</v>
      </c>
      <c r="P60" s="34" t="n">
        <v>0.1160711908915883</v>
      </c>
      <c r="Q60" s="34" t="n">
        <v>0.0510741633421171</v>
      </c>
      <c r="R60" s="31" t="n">
        <v>720</v>
      </c>
      <c r="S60" s="31" t="n">
        <v>200</v>
      </c>
      <c r="T60" s="31" t="inlineStr">
        <is>
          <t>U</t>
        </is>
      </c>
      <c r="U60" s="31" t="inlineStr">
        <is>
          <t>Balanced</t>
        </is>
      </c>
      <c r="V60" s="31" t="inlineStr">
        <is>
          <t>NEW DEVELOPMENT RESULT</t>
        </is>
      </c>
      <c r="W60" s="31" t="n">
        <v>0.0013823749444576</v>
      </c>
    </row>
    <row r="61" ht="24" customHeight="1">
      <c r="A61" s="31" t="inlineStr">
        <is>
          <t>D003__TECO15__8103</t>
        </is>
      </c>
      <c r="B61" s="31" t="inlineStr">
        <is>
          <t>D003</t>
        </is>
      </c>
      <c r="C61" s="31" t="inlineStr">
        <is>
          <t>TECO15</t>
        </is>
      </c>
      <c r="D61" s="31" t="n">
        <v>8103</v>
      </c>
      <c r="E61" s="31" t="n">
        <v>361</v>
      </c>
      <c r="F61" s="33" t="n">
        <v>350.584487534626</v>
      </c>
      <c r="G61" s="33" t="n">
        <v>951.716745714918</v>
      </c>
      <c r="H61" s="33" t="n">
        <v>3568.689529085873</v>
      </c>
      <c r="I61" s="33" t="n">
        <v>390</v>
      </c>
      <c r="J61" s="33" t="n">
        <v>0.1412742382271468</v>
      </c>
      <c r="K61" s="33" t="n">
        <v>237.0275689223058</v>
      </c>
      <c r="L61" s="33" t="n">
        <v>579.2319598187086</v>
      </c>
      <c r="M61" s="33" t="n">
        <v>574683.2971707501</v>
      </c>
      <c r="N61" s="33" t="n">
        <v>69198</v>
      </c>
      <c r="O61" s="34" t="n">
        <v>0.33236333402619</v>
      </c>
      <c r="P61" s="34" t="n">
        <v>0.0977515509107164</v>
      </c>
      <c r="Q61" s="34" t="n">
        <v>0.0435377957081948</v>
      </c>
      <c r="R61" s="31" t="n">
        <v>720</v>
      </c>
      <c r="S61" s="31" t="n">
        <v>200</v>
      </c>
      <c r="T61" s="31" t="inlineStr">
        <is>
          <t>U</t>
        </is>
      </c>
      <c r="U61" s="31" t="inlineStr">
        <is>
          <t>Balanced</t>
        </is>
      </c>
      <c r="V61" s="31" t="inlineStr">
        <is>
          <t>NEW DEVELOPMENT RESULT</t>
        </is>
      </c>
      <c r="W61" s="31" t="n">
        <v>0.0013737931211869</v>
      </c>
    </row>
    <row r="62" ht="24" customHeight="1">
      <c r="A62" s="31" t="inlineStr">
        <is>
          <t>D004__SP__8101</t>
        </is>
      </c>
      <c r="B62" s="31" t="inlineStr">
        <is>
          <t>D004</t>
        </is>
      </c>
      <c r="C62" s="31" t="inlineStr">
        <is>
          <t>SP</t>
        </is>
      </c>
      <c r="D62" s="31" t="n">
        <v>8101</v>
      </c>
      <c r="E62" s="31" t="n">
        <v>375</v>
      </c>
      <c r="F62" s="33" t="n">
        <v>274.2746666666667</v>
      </c>
      <c r="G62" s="33" t="n">
        <v>709.7937179168531</v>
      </c>
      <c r="H62" s="33" t="n">
        <v>3203.72</v>
      </c>
      <c r="I62" s="33" t="n">
        <v>299</v>
      </c>
      <c r="J62" s="33" t="n">
        <v>0.0986666666666666</v>
      </c>
      <c r="K62" s="33" t="n">
        <v>246.9867724867725</v>
      </c>
      <c r="L62" s="33" t="n">
        <v>607.6499770611385</v>
      </c>
      <c r="M62" s="33" t="n">
        <v>495864.3355479303</v>
      </c>
      <c r="N62" s="33" t="n">
        <v>54441</v>
      </c>
      <c r="O62" s="34" t="n">
        <v>0</v>
      </c>
      <c r="P62" s="34" t="n">
        <v>0.0645459001489055</v>
      </c>
      <c r="Q62" s="34" t="n">
        <v>0.0114954221864662</v>
      </c>
      <c r="R62" s="31" t="n">
        <v>720</v>
      </c>
      <c r="S62" s="31" t="n">
        <v>200</v>
      </c>
      <c r="T62" s="31" t="inlineStr">
        <is>
          <t>U</t>
        </is>
      </c>
      <c r="U62" s="31" t="inlineStr">
        <is>
          <t>Arterial</t>
        </is>
      </c>
      <c r="V62" s="31" t="inlineStr">
        <is>
          <t>NEW DEVELOPMENT RESULT</t>
        </is>
      </c>
      <c r="W62" s="31" t="n">
        <v>0.0016761287980159</v>
      </c>
    </row>
    <row r="63" ht="24" customHeight="1">
      <c r="A63" s="31" t="inlineStr">
        <is>
          <t>D004__SP__8102</t>
        </is>
      </c>
      <c r="B63" s="31" t="inlineStr">
        <is>
          <t>D004</t>
        </is>
      </c>
      <c r="C63" s="31" t="inlineStr">
        <is>
          <t>SP</t>
        </is>
      </c>
      <c r="D63" s="31" t="n">
        <v>8102</v>
      </c>
      <c r="E63" s="31" t="n">
        <v>392</v>
      </c>
      <c r="F63" s="33" t="n">
        <v>276.8673469387755</v>
      </c>
      <c r="G63" s="33" t="n">
        <v>720.2960581426837</v>
      </c>
      <c r="H63" s="33" t="n">
        <v>3203.720000000001</v>
      </c>
      <c r="I63" s="33" t="n">
        <v>301.45</v>
      </c>
      <c r="J63" s="33" t="n">
        <v>0.125</v>
      </c>
      <c r="K63" s="33" t="n">
        <v>249.0180878552972</v>
      </c>
      <c r="L63" s="33" t="n">
        <v>613.1871982528231</v>
      </c>
      <c r="M63" s="33" t="n">
        <v>519659.5005157745</v>
      </c>
      <c r="N63" s="33" t="n">
        <v>55379</v>
      </c>
      <c r="O63" s="34" t="n">
        <v>0</v>
      </c>
      <c r="P63" s="34" t="n">
        <v>0.067413137222541</v>
      </c>
      <c r="Q63" s="34" t="n">
        <v>-0.0015222509752427</v>
      </c>
      <c r="R63" s="31" t="n">
        <v>720</v>
      </c>
      <c r="S63" s="31" t="n">
        <v>200</v>
      </c>
      <c r="T63" s="31" t="inlineStr">
        <is>
          <t>U</t>
        </is>
      </c>
      <c r="U63" s="31" t="inlineStr">
        <is>
          <t>Arterial</t>
        </is>
      </c>
      <c r="V63" s="31" t="inlineStr">
        <is>
          <t>NEW DEVELOPMENT RESULT</t>
        </is>
      </c>
      <c r="W63" s="31" t="n">
        <v>0.0016815670961003</v>
      </c>
    </row>
    <row r="64" ht="24" customHeight="1">
      <c r="A64" s="31" t="inlineStr">
        <is>
          <t>D004__SP__8103</t>
        </is>
      </c>
      <c r="B64" s="31" t="inlineStr">
        <is>
          <t>D004</t>
        </is>
      </c>
      <c r="C64" s="31" t="inlineStr">
        <is>
          <t>SP</t>
        </is>
      </c>
      <c r="D64" s="31" t="n">
        <v>8103</v>
      </c>
      <c r="E64" s="31" t="n">
        <v>361</v>
      </c>
      <c r="F64" s="33" t="n">
        <v>273.6426592797784</v>
      </c>
      <c r="G64" s="33" t="n">
        <v>708.4537871369897</v>
      </c>
      <c r="H64" s="33" t="n">
        <v>3203.72</v>
      </c>
      <c r="I64" s="33" t="n">
        <v>298</v>
      </c>
      <c r="J64" s="33" t="n">
        <v>0.1412742382271468</v>
      </c>
      <c r="K64" s="33" t="n">
        <v>247.0275689223058</v>
      </c>
      <c r="L64" s="33" t="n">
        <v>607.6764235974201</v>
      </c>
      <c r="M64" s="33" t="n">
        <v>498214.7101718239</v>
      </c>
      <c r="N64" s="33" t="n">
        <v>53006</v>
      </c>
      <c r="O64" s="34" t="n">
        <v>0</v>
      </c>
      <c r="P64" s="34" t="n">
        <v>0.0718757320903836</v>
      </c>
      <c r="Q64" s="34" t="n">
        <v>-0.0005152495181328</v>
      </c>
      <c r="R64" s="31" t="n">
        <v>720</v>
      </c>
      <c r="S64" s="31" t="n">
        <v>200</v>
      </c>
      <c r="T64" s="31" t="inlineStr">
        <is>
          <t>U</t>
        </is>
      </c>
      <c r="U64" s="31" t="inlineStr">
        <is>
          <t>Arterial</t>
        </is>
      </c>
      <c r="V64" s="31" t="inlineStr">
        <is>
          <t>NEW DEVELOPMENT RESULT</t>
        </is>
      </c>
      <c r="W64" s="31" t="n">
        <v>0.0016944688611323</v>
      </c>
    </row>
    <row r="65" ht="24" customHeight="1">
      <c r="A65" s="31" t="inlineStr">
        <is>
          <t>D004__DTT__8101</t>
        </is>
      </c>
      <c r="B65" s="31" t="inlineStr">
        <is>
          <t>D004</t>
        </is>
      </c>
      <c r="C65" s="31" t="inlineStr">
        <is>
          <t>DTT</t>
        </is>
      </c>
      <c r="D65" s="31" t="n">
        <v>8101</v>
      </c>
      <c r="E65" s="31" t="n">
        <v>375</v>
      </c>
      <c r="F65" s="33" t="n">
        <v>288.2986666666667</v>
      </c>
      <c r="G65" s="33" t="n">
        <v>750.5726840603553</v>
      </c>
      <c r="H65" s="33" t="n">
        <v>3302.374533333333</v>
      </c>
      <c r="I65" s="33" t="n">
        <v>377.0000000000001</v>
      </c>
      <c r="J65" s="33" t="n">
        <v>0.0986666666666666</v>
      </c>
      <c r="K65" s="33" t="n">
        <v>251.5291005291005</v>
      </c>
      <c r="L65" s="33" t="n">
        <v>620.0021270991977</v>
      </c>
      <c r="M65" s="33" t="n">
        <v>515825.5605661299</v>
      </c>
      <c r="N65" s="33" t="n">
        <v>58133</v>
      </c>
      <c r="O65" s="34" t="n">
        <v>0.1585812356979405</v>
      </c>
      <c r="P65" s="34" t="n">
        <v>0.1160231969963312</v>
      </c>
      <c r="Q65" s="34" t="n">
        <v>0.0458960326865108</v>
      </c>
      <c r="R65" s="31" t="n">
        <v>720</v>
      </c>
      <c r="S65" s="31" t="n">
        <v>200</v>
      </c>
      <c r="T65" s="31" t="inlineStr">
        <is>
          <t>U</t>
        </is>
      </c>
      <c r="U65" s="31" t="inlineStr">
        <is>
          <t>Arterial</t>
        </is>
      </c>
      <c r="V65" s="31" t="inlineStr">
        <is>
          <t>NEW DEVELOPMENT RESULT</t>
        </is>
      </c>
      <c r="W65" s="31" t="n">
        <v>0.0016086188160942</v>
      </c>
    </row>
    <row r="66" ht="24" customHeight="1">
      <c r="A66" s="31" t="inlineStr">
        <is>
          <t>D004__DTT__8102</t>
        </is>
      </c>
      <c r="B66" s="31" t="inlineStr">
        <is>
          <t>D004</t>
        </is>
      </c>
      <c r="C66" s="31" t="inlineStr">
        <is>
          <t>DTT</t>
        </is>
      </c>
      <c r="D66" s="31" t="n">
        <v>8102</v>
      </c>
      <c r="E66" s="31" t="n">
        <v>392</v>
      </c>
      <c r="F66" s="33" t="n">
        <v>281.3852040816327</v>
      </c>
      <c r="G66" s="33" t="n">
        <v>733.567706600765</v>
      </c>
      <c r="H66" s="33" t="n">
        <v>3261.33836734694</v>
      </c>
      <c r="I66" s="33" t="n">
        <v>342.9</v>
      </c>
      <c r="J66" s="33" t="n">
        <v>0.125</v>
      </c>
      <c r="K66" s="33" t="n">
        <v>249.0180878552972</v>
      </c>
      <c r="L66" s="33" t="n">
        <v>613.1871982528231</v>
      </c>
      <c r="M66" s="33" t="n">
        <v>524861.9867113424</v>
      </c>
      <c r="N66" s="33" t="n">
        <v>55402</v>
      </c>
      <c r="O66" s="34" t="n">
        <v>0.0933572710951526</v>
      </c>
      <c r="P66" s="34" t="n">
        <v>0.09909411691292649</v>
      </c>
      <c r="Q66" s="34" t="n">
        <v>0.0205576153753082</v>
      </c>
      <c r="R66" s="31" t="n">
        <v>720</v>
      </c>
      <c r="S66" s="31" t="n">
        <v>200</v>
      </c>
      <c r="T66" s="31" t="inlineStr">
        <is>
          <t>U</t>
        </is>
      </c>
      <c r="U66" s="31" t="inlineStr">
        <is>
          <t>Arterial</t>
        </is>
      </c>
      <c r="V66" s="31" t="inlineStr">
        <is>
          <t>NEW DEVELOPMENT RESULT</t>
        </is>
      </c>
      <c r="W66" s="31" t="n">
        <v>0.0016508978017588</v>
      </c>
    </row>
    <row r="67" ht="24" customHeight="1">
      <c r="A67" s="31" t="inlineStr">
        <is>
          <t>D004__DTT__8103</t>
        </is>
      </c>
      <c r="B67" s="31" t="inlineStr">
        <is>
          <t>D004</t>
        </is>
      </c>
      <c r="C67" s="31" t="inlineStr">
        <is>
          <t>DTT</t>
        </is>
      </c>
      <c r="D67" s="31" t="n">
        <v>8103</v>
      </c>
      <c r="E67" s="31" t="n">
        <v>361</v>
      </c>
      <c r="F67" s="33" t="n">
        <v>284.1745152354571</v>
      </c>
      <c r="G67" s="33" t="n">
        <v>737.0915076303316</v>
      </c>
      <c r="H67" s="33" t="n">
        <v>3268.906121883657</v>
      </c>
      <c r="I67" s="33" t="n">
        <v>374</v>
      </c>
      <c r="J67" s="33" t="n">
        <v>0.1412742382271468</v>
      </c>
      <c r="K67" s="33" t="n">
        <v>247.0275689223058</v>
      </c>
      <c r="L67" s="33" t="n">
        <v>607.6764235974201</v>
      </c>
      <c r="M67" s="33" t="n">
        <v>508552.9272699204</v>
      </c>
      <c r="N67" s="33" t="n">
        <v>54278</v>
      </c>
      <c r="O67" s="34" t="n">
        <v>0.1322533849129593</v>
      </c>
      <c r="P67" s="34" t="n">
        <v>0.1026671470341774</v>
      </c>
      <c r="Q67" s="34" t="n">
        <v>0.0328176583755343</v>
      </c>
      <c r="R67" s="31" t="n">
        <v>720</v>
      </c>
      <c r="S67" s="31" t="n">
        <v>200</v>
      </c>
      <c r="T67" s="31" t="inlineStr">
        <is>
          <t>U</t>
        </is>
      </c>
      <c r="U67" s="31" t="inlineStr">
        <is>
          <t>Arterial</t>
        </is>
      </c>
      <c r="V67" s="31" t="inlineStr">
        <is>
          <t>NEW DEVELOPMENT RESULT</t>
        </is>
      </c>
      <c r="W67" s="31" t="n">
        <v>0.001659035756957</v>
      </c>
    </row>
    <row r="68" ht="24" customHeight="1">
      <c r="A68" s="31" t="inlineStr">
        <is>
          <t>D004__ECO__8101</t>
        </is>
      </c>
      <c r="B68" s="31" t="inlineStr">
        <is>
          <t>D004</t>
        </is>
      </c>
      <c r="C68" s="31" t="inlineStr">
        <is>
          <t>ECO</t>
        </is>
      </c>
      <c r="D68" s="31" t="n">
        <v>8101</v>
      </c>
      <c r="E68" s="31" t="n">
        <v>375</v>
      </c>
      <c r="F68" s="33" t="n">
        <v>274.2746666666667</v>
      </c>
      <c r="G68" s="33" t="n">
        <v>709.7937179168531</v>
      </c>
      <c r="H68" s="33" t="n">
        <v>3203.72</v>
      </c>
      <c r="I68" s="33" t="n">
        <v>299</v>
      </c>
      <c r="J68" s="33" t="n">
        <v>0.0986666666666666</v>
      </c>
      <c r="K68" s="33" t="n">
        <v>246.9867724867725</v>
      </c>
      <c r="L68" s="33" t="n">
        <v>607.6499770611385</v>
      </c>
      <c r="M68" s="33" t="n">
        <v>495864.3355479303</v>
      </c>
      <c r="N68" s="33" t="n">
        <v>54441</v>
      </c>
      <c r="O68" s="34" t="n">
        <v>0</v>
      </c>
      <c r="P68" s="34" t="n">
        <v>0.0645459001489055</v>
      </c>
      <c r="Q68" s="34" t="n">
        <v>0.0114954221864662</v>
      </c>
      <c r="R68" s="31" t="n">
        <v>720</v>
      </c>
      <c r="S68" s="31" t="n">
        <v>200</v>
      </c>
      <c r="T68" s="31" t="inlineStr">
        <is>
          <t>U</t>
        </is>
      </c>
      <c r="U68" s="31" t="inlineStr">
        <is>
          <t>Arterial</t>
        </is>
      </c>
      <c r="V68" s="31" t="inlineStr">
        <is>
          <t>NEW DEVELOPMENT RESULT</t>
        </is>
      </c>
      <c r="W68" s="31" t="n">
        <v>0.0016761287980159</v>
      </c>
    </row>
    <row r="69" ht="24" customHeight="1">
      <c r="A69" s="31" t="inlineStr">
        <is>
          <t>D004__ECO__8102</t>
        </is>
      </c>
      <c r="B69" s="31" t="inlineStr">
        <is>
          <t>D004</t>
        </is>
      </c>
      <c r="C69" s="31" t="inlineStr">
        <is>
          <t>ECO</t>
        </is>
      </c>
      <c r="D69" s="31" t="n">
        <v>8102</v>
      </c>
      <c r="E69" s="31" t="n">
        <v>392</v>
      </c>
      <c r="F69" s="33" t="n">
        <v>276.8673469387755</v>
      </c>
      <c r="G69" s="33" t="n">
        <v>720.2960581426837</v>
      </c>
      <c r="H69" s="33" t="n">
        <v>3203.720000000001</v>
      </c>
      <c r="I69" s="33" t="n">
        <v>301.45</v>
      </c>
      <c r="J69" s="33" t="n">
        <v>0.125</v>
      </c>
      <c r="K69" s="33" t="n">
        <v>249.0180878552972</v>
      </c>
      <c r="L69" s="33" t="n">
        <v>613.1871982528231</v>
      </c>
      <c r="M69" s="33" t="n">
        <v>519659.5005157745</v>
      </c>
      <c r="N69" s="33" t="n">
        <v>55379</v>
      </c>
      <c r="O69" s="34" t="n">
        <v>0</v>
      </c>
      <c r="P69" s="34" t="n">
        <v>0.067413137222541</v>
      </c>
      <c r="Q69" s="34" t="n">
        <v>-0.0015222509752427</v>
      </c>
      <c r="R69" s="31" t="n">
        <v>720</v>
      </c>
      <c r="S69" s="31" t="n">
        <v>200</v>
      </c>
      <c r="T69" s="31" t="inlineStr">
        <is>
          <t>U</t>
        </is>
      </c>
      <c r="U69" s="31" t="inlineStr">
        <is>
          <t>Arterial</t>
        </is>
      </c>
      <c r="V69" s="31" t="inlineStr">
        <is>
          <t>NEW DEVELOPMENT RESULT</t>
        </is>
      </c>
      <c r="W69" s="31" t="n">
        <v>0.0016815670961003</v>
      </c>
    </row>
    <row r="70" ht="24" customHeight="1">
      <c r="A70" s="31" t="inlineStr">
        <is>
          <t>D004__ECO__8103</t>
        </is>
      </c>
      <c r="B70" s="31" t="inlineStr">
        <is>
          <t>D004</t>
        </is>
      </c>
      <c r="C70" s="31" t="inlineStr">
        <is>
          <t>ECO</t>
        </is>
      </c>
      <c r="D70" s="31" t="n">
        <v>8103</v>
      </c>
      <c r="E70" s="31" t="n">
        <v>361</v>
      </c>
      <c r="F70" s="33" t="n">
        <v>273.6426592797784</v>
      </c>
      <c r="G70" s="33" t="n">
        <v>708.4537871369897</v>
      </c>
      <c r="H70" s="33" t="n">
        <v>3203.72</v>
      </c>
      <c r="I70" s="33" t="n">
        <v>298</v>
      </c>
      <c r="J70" s="33" t="n">
        <v>0.1412742382271468</v>
      </c>
      <c r="K70" s="33" t="n">
        <v>247.0275689223058</v>
      </c>
      <c r="L70" s="33" t="n">
        <v>607.6764235974201</v>
      </c>
      <c r="M70" s="33" t="n">
        <v>498214.7101718239</v>
      </c>
      <c r="N70" s="33" t="n">
        <v>53006</v>
      </c>
      <c r="O70" s="34" t="n">
        <v>0</v>
      </c>
      <c r="P70" s="34" t="n">
        <v>0.0718757320903836</v>
      </c>
      <c r="Q70" s="34" t="n">
        <v>-0.0005152495181328</v>
      </c>
      <c r="R70" s="31" t="n">
        <v>720</v>
      </c>
      <c r="S70" s="31" t="n">
        <v>200</v>
      </c>
      <c r="T70" s="31" t="inlineStr">
        <is>
          <t>U</t>
        </is>
      </c>
      <c r="U70" s="31" t="inlineStr">
        <is>
          <t>Arterial</t>
        </is>
      </c>
      <c r="V70" s="31" t="inlineStr">
        <is>
          <t>NEW DEVELOPMENT RESULT</t>
        </is>
      </c>
      <c r="W70" s="31" t="n">
        <v>0.0016944688611323</v>
      </c>
    </row>
    <row r="71" ht="24" customHeight="1">
      <c r="A71" s="31" t="inlineStr">
        <is>
          <t>D004__TECO05__8101</t>
        </is>
      </c>
      <c r="B71" s="31" t="inlineStr">
        <is>
          <t>D004</t>
        </is>
      </c>
      <c r="C71" s="31" t="inlineStr">
        <is>
          <t>TECO05</t>
        </is>
      </c>
      <c r="D71" s="31" t="n">
        <v>8101</v>
      </c>
      <c r="E71" s="31" t="n">
        <v>375</v>
      </c>
      <c r="F71" s="33" t="n">
        <v>274.2746666666667</v>
      </c>
      <c r="G71" s="33" t="n">
        <v>709.7937179168531</v>
      </c>
      <c r="H71" s="33" t="n">
        <v>3203.72</v>
      </c>
      <c r="I71" s="33" t="n">
        <v>299</v>
      </c>
      <c r="J71" s="33" t="n">
        <v>0.0986666666666666</v>
      </c>
      <c r="K71" s="33" t="n">
        <v>246.9867724867725</v>
      </c>
      <c r="L71" s="33" t="n">
        <v>607.6499770611385</v>
      </c>
      <c r="M71" s="33" t="n">
        <v>495864.3355479303</v>
      </c>
      <c r="N71" s="33" t="n">
        <v>54441</v>
      </c>
      <c r="O71" s="34" t="n">
        <v>0</v>
      </c>
      <c r="P71" s="34" t="n">
        <v>0.0645459001489055</v>
      </c>
      <c r="Q71" s="34" t="n">
        <v>0.0114954221864662</v>
      </c>
      <c r="R71" s="31" t="n">
        <v>720</v>
      </c>
      <c r="S71" s="31" t="n">
        <v>200</v>
      </c>
      <c r="T71" s="31" t="inlineStr">
        <is>
          <t>U</t>
        </is>
      </c>
      <c r="U71" s="31" t="inlineStr">
        <is>
          <t>Arterial</t>
        </is>
      </c>
      <c r="V71" s="31" t="inlineStr">
        <is>
          <t>NEW DEVELOPMENT RESULT</t>
        </is>
      </c>
      <c r="W71" s="31" t="n">
        <v>0.0016761287980159</v>
      </c>
    </row>
    <row r="72" ht="24" customHeight="1">
      <c r="A72" s="31" t="inlineStr">
        <is>
          <t>D004__TECO05__8102</t>
        </is>
      </c>
      <c r="B72" s="31" t="inlineStr">
        <is>
          <t>D004</t>
        </is>
      </c>
      <c r="C72" s="31" t="inlineStr">
        <is>
          <t>TECO05</t>
        </is>
      </c>
      <c r="D72" s="31" t="n">
        <v>8102</v>
      </c>
      <c r="E72" s="31" t="n">
        <v>392</v>
      </c>
      <c r="F72" s="33" t="n">
        <v>276.8673469387755</v>
      </c>
      <c r="G72" s="33" t="n">
        <v>720.2960581426837</v>
      </c>
      <c r="H72" s="33" t="n">
        <v>3203.720000000001</v>
      </c>
      <c r="I72" s="33" t="n">
        <v>301.45</v>
      </c>
      <c r="J72" s="33" t="n">
        <v>0.125</v>
      </c>
      <c r="K72" s="33" t="n">
        <v>249.0180878552972</v>
      </c>
      <c r="L72" s="33" t="n">
        <v>613.1871982528231</v>
      </c>
      <c r="M72" s="33" t="n">
        <v>519659.5005157745</v>
      </c>
      <c r="N72" s="33" t="n">
        <v>55379</v>
      </c>
      <c r="O72" s="34" t="n">
        <v>0</v>
      </c>
      <c r="P72" s="34" t="n">
        <v>0.067413137222541</v>
      </c>
      <c r="Q72" s="34" t="n">
        <v>-0.0015222509752427</v>
      </c>
      <c r="R72" s="31" t="n">
        <v>720</v>
      </c>
      <c r="S72" s="31" t="n">
        <v>200</v>
      </c>
      <c r="T72" s="31" t="inlineStr">
        <is>
          <t>U</t>
        </is>
      </c>
      <c r="U72" s="31" t="inlineStr">
        <is>
          <t>Arterial</t>
        </is>
      </c>
      <c r="V72" s="31" t="inlineStr">
        <is>
          <t>NEW DEVELOPMENT RESULT</t>
        </is>
      </c>
      <c r="W72" s="31" t="n">
        <v>0.0016815670961003</v>
      </c>
    </row>
    <row r="73" ht="24" customHeight="1">
      <c r="A73" s="31" t="inlineStr">
        <is>
          <t>D004__TECO05__8103</t>
        </is>
      </c>
      <c r="B73" s="31" t="inlineStr">
        <is>
          <t>D004</t>
        </is>
      </c>
      <c r="C73" s="31" t="inlineStr">
        <is>
          <t>TECO05</t>
        </is>
      </c>
      <c r="D73" s="31" t="n">
        <v>8103</v>
      </c>
      <c r="E73" s="31" t="n">
        <v>361</v>
      </c>
      <c r="F73" s="33" t="n">
        <v>273.6426592797784</v>
      </c>
      <c r="G73" s="33" t="n">
        <v>708.4537871369897</v>
      </c>
      <c r="H73" s="33" t="n">
        <v>3203.72</v>
      </c>
      <c r="I73" s="33" t="n">
        <v>298</v>
      </c>
      <c r="J73" s="33" t="n">
        <v>0.1412742382271468</v>
      </c>
      <c r="K73" s="33" t="n">
        <v>247.0275689223058</v>
      </c>
      <c r="L73" s="33" t="n">
        <v>607.6764235974201</v>
      </c>
      <c r="M73" s="33" t="n">
        <v>498214.7101718239</v>
      </c>
      <c r="N73" s="33" t="n">
        <v>53006</v>
      </c>
      <c r="O73" s="34" t="n">
        <v>0</v>
      </c>
      <c r="P73" s="34" t="n">
        <v>0.0718757320903836</v>
      </c>
      <c r="Q73" s="34" t="n">
        <v>-0.0005152495181328</v>
      </c>
      <c r="R73" s="31" t="n">
        <v>720</v>
      </c>
      <c r="S73" s="31" t="n">
        <v>200</v>
      </c>
      <c r="T73" s="31" t="inlineStr">
        <is>
          <t>U</t>
        </is>
      </c>
      <c r="U73" s="31" t="inlineStr">
        <is>
          <t>Arterial</t>
        </is>
      </c>
      <c r="V73" s="31" t="inlineStr">
        <is>
          <t>NEW DEVELOPMENT RESULT</t>
        </is>
      </c>
      <c r="W73" s="31" t="n">
        <v>0.0016944688611323</v>
      </c>
    </row>
    <row r="74" ht="24" customHeight="1">
      <c r="A74" s="31" t="inlineStr">
        <is>
          <t>D004__TECO10__8101</t>
        </is>
      </c>
      <c r="B74" s="31" t="inlineStr">
        <is>
          <t>D004</t>
        </is>
      </c>
      <c r="C74" s="31" t="inlineStr">
        <is>
          <t>TECO10</t>
        </is>
      </c>
      <c r="D74" s="31" t="n">
        <v>8101</v>
      </c>
      <c r="E74" s="31" t="n">
        <v>375</v>
      </c>
      <c r="F74" s="33" t="n">
        <v>274.2746666666667</v>
      </c>
      <c r="G74" s="33" t="n">
        <v>709.7937179168531</v>
      </c>
      <c r="H74" s="33" t="n">
        <v>3203.72</v>
      </c>
      <c r="I74" s="33" t="n">
        <v>299</v>
      </c>
      <c r="J74" s="33" t="n">
        <v>0.0986666666666666</v>
      </c>
      <c r="K74" s="33" t="n">
        <v>246.9867724867725</v>
      </c>
      <c r="L74" s="33" t="n">
        <v>607.6499770611385</v>
      </c>
      <c r="M74" s="33" t="n">
        <v>495864.3355479303</v>
      </c>
      <c r="N74" s="33" t="n">
        <v>54441</v>
      </c>
      <c r="O74" s="34" t="n">
        <v>0</v>
      </c>
      <c r="P74" s="34" t="n">
        <v>0.0645459001489055</v>
      </c>
      <c r="Q74" s="34" t="n">
        <v>0.0114954221864662</v>
      </c>
      <c r="R74" s="31" t="n">
        <v>720</v>
      </c>
      <c r="S74" s="31" t="n">
        <v>200</v>
      </c>
      <c r="T74" s="31" t="inlineStr">
        <is>
          <t>U</t>
        </is>
      </c>
      <c r="U74" s="31" t="inlineStr">
        <is>
          <t>Arterial</t>
        </is>
      </c>
      <c r="V74" s="31" t="inlineStr">
        <is>
          <t>NEW DEVELOPMENT RESULT</t>
        </is>
      </c>
      <c r="W74" s="31" t="n">
        <v>0.0016761287980159</v>
      </c>
    </row>
    <row r="75" ht="24" customHeight="1">
      <c r="A75" s="31" t="inlineStr">
        <is>
          <t>D004__TECO10__8102</t>
        </is>
      </c>
      <c r="B75" s="31" t="inlineStr">
        <is>
          <t>D004</t>
        </is>
      </c>
      <c r="C75" s="31" t="inlineStr">
        <is>
          <t>TECO10</t>
        </is>
      </c>
      <c r="D75" s="31" t="n">
        <v>8102</v>
      </c>
      <c r="E75" s="31" t="n">
        <v>392</v>
      </c>
      <c r="F75" s="33" t="n">
        <v>276.8673469387755</v>
      </c>
      <c r="G75" s="33" t="n">
        <v>720.2960581426837</v>
      </c>
      <c r="H75" s="33" t="n">
        <v>3203.720000000001</v>
      </c>
      <c r="I75" s="33" t="n">
        <v>301.45</v>
      </c>
      <c r="J75" s="33" t="n">
        <v>0.125</v>
      </c>
      <c r="K75" s="33" t="n">
        <v>249.0180878552972</v>
      </c>
      <c r="L75" s="33" t="n">
        <v>613.1871982528231</v>
      </c>
      <c r="M75" s="33" t="n">
        <v>519659.5005157745</v>
      </c>
      <c r="N75" s="33" t="n">
        <v>55379</v>
      </c>
      <c r="O75" s="34" t="n">
        <v>0</v>
      </c>
      <c r="P75" s="34" t="n">
        <v>0.067413137222541</v>
      </c>
      <c r="Q75" s="34" t="n">
        <v>-0.0015222509752427</v>
      </c>
      <c r="R75" s="31" t="n">
        <v>720</v>
      </c>
      <c r="S75" s="31" t="n">
        <v>200</v>
      </c>
      <c r="T75" s="31" t="inlineStr">
        <is>
          <t>U</t>
        </is>
      </c>
      <c r="U75" s="31" t="inlineStr">
        <is>
          <t>Arterial</t>
        </is>
      </c>
      <c r="V75" s="31" t="inlineStr">
        <is>
          <t>NEW DEVELOPMENT RESULT</t>
        </is>
      </c>
      <c r="W75" s="31" t="n">
        <v>0.0016815670961003</v>
      </c>
    </row>
    <row r="76" ht="24" customHeight="1">
      <c r="A76" s="31" t="inlineStr">
        <is>
          <t>D004__TECO10__8103</t>
        </is>
      </c>
      <c r="B76" s="31" t="inlineStr">
        <is>
          <t>D004</t>
        </is>
      </c>
      <c r="C76" s="31" t="inlineStr">
        <is>
          <t>TECO10</t>
        </is>
      </c>
      <c r="D76" s="31" t="n">
        <v>8103</v>
      </c>
      <c r="E76" s="31" t="n">
        <v>361</v>
      </c>
      <c r="F76" s="33" t="n">
        <v>273.6426592797784</v>
      </c>
      <c r="G76" s="33" t="n">
        <v>708.4537871369897</v>
      </c>
      <c r="H76" s="33" t="n">
        <v>3203.72</v>
      </c>
      <c r="I76" s="33" t="n">
        <v>298</v>
      </c>
      <c r="J76" s="33" t="n">
        <v>0.1412742382271468</v>
      </c>
      <c r="K76" s="33" t="n">
        <v>247.0275689223058</v>
      </c>
      <c r="L76" s="33" t="n">
        <v>607.6764235974201</v>
      </c>
      <c r="M76" s="33" t="n">
        <v>498214.7101718239</v>
      </c>
      <c r="N76" s="33" t="n">
        <v>53006</v>
      </c>
      <c r="O76" s="34" t="n">
        <v>0</v>
      </c>
      <c r="P76" s="34" t="n">
        <v>0.0718757320903836</v>
      </c>
      <c r="Q76" s="34" t="n">
        <v>-0.0005152495181328</v>
      </c>
      <c r="R76" s="31" t="n">
        <v>720</v>
      </c>
      <c r="S76" s="31" t="n">
        <v>200</v>
      </c>
      <c r="T76" s="31" t="inlineStr">
        <is>
          <t>U</t>
        </is>
      </c>
      <c r="U76" s="31" t="inlineStr">
        <is>
          <t>Arterial</t>
        </is>
      </c>
      <c r="V76" s="31" t="inlineStr">
        <is>
          <t>NEW DEVELOPMENT RESULT</t>
        </is>
      </c>
      <c r="W76" s="31" t="n">
        <v>0.0016944688611323</v>
      </c>
    </row>
    <row r="77" ht="24" customHeight="1">
      <c r="A77" s="31" t="inlineStr">
        <is>
          <t>D004__TECO15__8101</t>
        </is>
      </c>
      <c r="B77" s="31" t="inlineStr">
        <is>
          <t>D004</t>
        </is>
      </c>
      <c r="C77" s="31" t="inlineStr">
        <is>
          <t>TECO15</t>
        </is>
      </c>
      <c r="D77" s="31" t="n">
        <v>8101</v>
      </c>
      <c r="E77" s="31" t="n">
        <v>375</v>
      </c>
      <c r="F77" s="33" t="n">
        <v>274.2746666666667</v>
      </c>
      <c r="G77" s="33" t="n">
        <v>709.7937179168531</v>
      </c>
      <c r="H77" s="33" t="n">
        <v>3203.72</v>
      </c>
      <c r="I77" s="33" t="n">
        <v>299</v>
      </c>
      <c r="J77" s="33" t="n">
        <v>0.0986666666666666</v>
      </c>
      <c r="K77" s="33" t="n">
        <v>246.9867724867725</v>
      </c>
      <c r="L77" s="33" t="n">
        <v>607.6499770611385</v>
      </c>
      <c r="M77" s="33" t="n">
        <v>495864.3355479303</v>
      </c>
      <c r="N77" s="33" t="n">
        <v>54441</v>
      </c>
      <c r="O77" s="34" t="n">
        <v>0</v>
      </c>
      <c r="P77" s="34" t="n">
        <v>0.0645459001489055</v>
      </c>
      <c r="Q77" s="34" t="n">
        <v>0.0114954221864662</v>
      </c>
      <c r="R77" s="31" t="n">
        <v>720</v>
      </c>
      <c r="S77" s="31" t="n">
        <v>200</v>
      </c>
      <c r="T77" s="31" t="inlineStr">
        <is>
          <t>U</t>
        </is>
      </c>
      <c r="U77" s="31" t="inlineStr">
        <is>
          <t>Arterial</t>
        </is>
      </c>
      <c r="V77" s="31" t="inlineStr">
        <is>
          <t>NEW DEVELOPMENT RESULT</t>
        </is>
      </c>
      <c r="W77" s="31" t="n">
        <v>0.0016761287980159</v>
      </c>
    </row>
    <row r="78" ht="24" customHeight="1">
      <c r="A78" s="31" t="inlineStr">
        <is>
          <t>D004__TECO15__8102</t>
        </is>
      </c>
      <c r="B78" s="31" t="inlineStr">
        <is>
          <t>D004</t>
        </is>
      </c>
      <c r="C78" s="31" t="inlineStr">
        <is>
          <t>TECO15</t>
        </is>
      </c>
      <c r="D78" s="31" t="n">
        <v>8102</v>
      </c>
      <c r="E78" s="31" t="n">
        <v>392</v>
      </c>
      <c r="F78" s="33" t="n">
        <v>276.8673469387755</v>
      </c>
      <c r="G78" s="33" t="n">
        <v>720.2960581426837</v>
      </c>
      <c r="H78" s="33" t="n">
        <v>3203.720000000001</v>
      </c>
      <c r="I78" s="33" t="n">
        <v>301.45</v>
      </c>
      <c r="J78" s="33" t="n">
        <v>0.125</v>
      </c>
      <c r="K78" s="33" t="n">
        <v>249.0180878552972</v>
      </c>
      <c r="L78" s="33" t="n">
        <v>613.1871982528231</v>
      </c>
      <c r="M78" s="33" t="n">
        <v>519659.5005157745</v>
      </c>
      <c r="N78" s="33" t="n">
        <v>55379</v>
      </c>
      <c r="O78" s="34" t="n">
        <v>0</v>
      </c>
      <c r="P78" s="34" t="n">
        <v>0.067413137222541</v>
      </c>
      <c r="Q78" s="34" t="n">
        <v>-0.0015222509752427</v>
      </c>
      <c r="R78" s="31" t="n">
        <v>720</v>
      </c>
      <c r="S78" s="31" t="n">
        <v>200</v>
      </c>
      <c r="T78" s="31" t="inlineStr">
        <is>
          <t>U</t>
        </is>
      </c>
      <c r="U78" s="31" t="inlineStr">
        <is>
          <t>Arterial</t>
        </is>
      </c>
      <c r="V78" s="31" t="inlineStr">
        <is>
          <t>NEW DEVELOPMENT RESULT</t>
        </is>
      </c>
      <c r="W78" s="31" t="n">
        <v>0.0016815670961003</v>
      </c>
    </row>
    <row r="79" ht="24" customHeight="1">
      <c r="A79" s="31" t="inlineStr">
        <is>
          <t>D004__TECO15__8103</t>
        </is>
      </c>
      <c r="B79" s="31" t="inlineStr">
        <is>
          <t>D004</t>
        </is>
      </c>
      <c r="C79" s="31" t="inlineStr">
        <is>
          <t>TECO15</t>
        </is>
      </c>
      <c r="D79" s="31" t="n">
        <v>8103</v>
      </c>
      <c r="E79" s="31" t="n">
        <v>361</v>
      </c>
      <c r="F79" s="33" t="n">
        <v>273.6426592797784</v>
      </c>
      <c r="G79" s="33" t="n">
        <v>708.4537871369897</v>
      </c>
      <c r="H79" s="33" t="n">
        <v>3203.72</v>
      </c>
      <c r="I79" s="33" t="n">
        <v>298</v>
      </c>
      <c r="J79" s="33" t="n">
        <v>0.1412742382271468</v>
      </c>
      <c r="K79" s="33" t="n">
        <v>247.0275689223058</v>
      </c>
      <c r="L79" s="33" t="n">
        <v>607.6764235974201</v>
      </c>
      <c r="M79" s="33" t="n">
        <v>498214.7101718239</v>
      </c>
      <c r="N79" s="33" t="n">
        <v>53006</v>
      </c>
      <c r="O79" s="34" t="n">
        <v>0</v>
      </c>
      <c r="P79" s="34" t="n">
        <v>0.0718757320903836</v>
      </c>
      <c r="Q79" s="34" t="n">
        <v>-0.0005152495181328</v>
      </c>
      <c r="R79" s="31" t="n">
        <v>720</v>
      </c>
      <c r="S79" s="31" t="n">
        <v>200</v>
      </c>
      <c r="T79" s="31" t="inlineStr">
        <is>
          <t>U</t>
        </is>
      </c>
      <c r="U79" s="31" t="inlineStr">
        <is>
          <t>Arterial</t>
        </is>
      </c>
      <c r="V79" s="31" t="inlineStr">
        <is>
          <t>NEW DEVELOPMENT RESULT</t>
        </is>
      </c>
      <c r="W79" s="31" t="n">
        <v>0.0016944688611323</v>
      </c>
    </row>
    <row r="80" ht="24" customHeight="1">
      <c r="A80" s="31" t="inlineStr">
        <is>
          <t>D005__SP__8101</t>
        </is>
      </c>
      <c r="B80" s="31" t="inlineStr">
        <is>
          <t>D005</t>
        </is>
      </c>
      <c r="C80" s="31" t="inlineStr">
        <is>
          <t>SP</t>
        </is>
      </c>
      <c r="D80" s="31" t="n">
        <v>8101</v>
      </c>
      <c r="E80" s="31" t="n">
        <v>375</v>
      </c>
      <c r="F80" s="33" t="n">
        <v>373.0666666666667</v>
      </c>
      <c r="G80" s="33" t="n">
        <v>1003.096338928279</v>
      </c>
      <c r="H80" s="33" t="n">
        <v>3203.72</v>
      </c>
      <c r="I80" s="33" t="n">
        <v>482</v>
      </c>
      <c r="J80" s="33" t="n">
        <v>0.0986666666666666</v>
      </c>
      <c r="K80" s="33" t="n">
        <v>236.9867724867725</v>
      </c>
      <c r="L80" s="33" t="n">
        <v>578.6863631529501</v>
      </c>
      <c r="M80" s="33" t="n">
        <v>594904.5723699199</v>
      </c>
      <c r="N80" s="33" t="n">
        <v>88076</v>
      </c>
      <c r="O80" s="34" t="n">
        <v>0</v>
      </c>
      <c r="P80" s="34" t="n">
        <v>0.0945194297634321</v>
      </c>
      <c r="Q80" s="34" t="n">
        <v>0.0242912303006202</v>
      </c>
      <c r="R80" s="31" t="n">
        <v>720</v>
      </c>
      <c r="S80" s="31" t="n">
        <v>200</v>
      </c>
      <c r="T80" s="31" t="inlineStr">
        <is>
          <t>C</t>
        </is>
      </c>
      <c r="U80" s="31" t="inlineStr">
        <is>
          <t>Balanced</t>
        </is>
      </c>
      <c r="V80" s="31" t="inlineStr">
        <is>
          <t>NEW DEVELOPMENT RESULT</t>
        </is>
      </c>
      <c r="W80" s="31" t="n">
        <v>0.0013849995966191</v>
      </c>
    </row>
    <row r="81" ht="24" customHeight="1">
      <c r="A81" s="31" t="inlineStr">
        <is>
          <t>D005__SP__8102</t>
        </is>
      </c>
      <c r="B81" s="31" t="inlineStr">
        <is>
          <t>D005</t>
        </is>
      </c>
      <c r="C81" s="31" t="inlineStr">
        <is>
          <t>SP</t>
        </is>
      </c>
      <c r="D81" s="31" t="n">
        <v>8102</v>
      </c>
      <c r="E81" s="31" t="n">
        <v>392</v>
      </c>
      <c r="F81" s="33" t="n">
        <v>340.1122448979592</v>
      </c>
      <c r="G81" s="33" t="n">
        <v>913.9420909778142</v>
      </c>
      <c r="H81" s="33" t="n">
        <v>3203.720000000001</v>
      </c>
      <c r="I81" s="33" t="n">
        <v>361</v>
      </c>
      <c r="J81" s="33" t="n">
        <v>0.125</v>
      </c>
      <c r="K81" s="33" t="n">
        <v>238.7777777777778</v>
      </c>
      <c r="L81" s="33" t="n">
        <v>583.9838383188488</v>
      </c>
      <c r="M81" s="33" t="n">
        <v>584267.0450926977</v>
      </c>
      <c r="N81" s="33" t="n">
        <v>76961</v>
      </c>
      <c r="O81" s="34" t="n">
        <v>0</v>
      </c>
      <c r="P81" s="34" t="n">
        <v>0.0485971354171607</v>
      </c>
      <c r="Q81" s="34" t="n">
        <v>0.0042329017209201</v>
      </c>
      <c r="R81" s="31" t="n">
        <v>720</v>
      </c>
      <c r="S81" s="31" t="n">
        <v>200</v>
      </c>
      <c r="T81" s="31" t="inlineStr">
        <is>
          <t>C</t>
        </is>
      </c>
      <c r="U81" s="31" t="inlineStr">
        <is>
          <t>Balanced</t>
        </is>
      </c>
      <c r="V81" s="31" t="inlineStr">
        <is>
          <t>NEW DEVELOPMENT RESULT</t>
        </is>
      </c>
      <c r="W81" s="31" t="n">
        <v>0.00145762124323</v>
      </c>
    </row>
    <row r="82" ht="24" customHeight="1">
      <c r="A82" s="31" t="inlineStr">
        <is>
          <t>D005__SP__8103</t>
        </is>
      </c>
      <c r="B82" s="31" t="inlineStr">
        <is>
          <t>D005</t>
        </is>
      </c>
      <c r="C82" s="31" t="inlineStr">
        <is>
          <t>SP</t>
        </is>
      </c>
      <c r="D82" s="31" t="n">
        <v>8103</v>
      </c>
      <c r="E82" s="31" t="n">
        <v>361</v>
      </c>
      <c r="F82" s="33" t="n">
        <v>345.3795013850416</v>
      </c>
      <c r="G82" s="33" t="n">
        <v>926.6294472712418</v>
      </c>
      <c r="H82" s="33" t="n">
        <v>3203.72</v>
      </c>
      <c r="I82" s="33" t="n">
        <v>384</v>
      </c>
      <c r="J82" s="33" t="n">
        <v>0.1412742382271468</v>
      </c>
      <c r="K82" s="33" t="n">
        <v>237.0275689223058</v>
      </c>
      <c r="L82" s="33" t="n">
        <v>579.2319598187086</v>
      </c>
      <c r="M82" s="33" t="n">
        <v>565626.782432583</v>
      </c>
      <c r="N82" s="33" t="n">
        <v>75100</v>
      </c>
      <c r="O82" s="34" t="n">
        <v>0</v>
      </c>
      <c r="P82" s="34" t="n">
        <v>0.0607166716042447</v>
      </c>
      <c r="Q82" s="34" t="n">
        <v>0.0035410438892261</v>
      </c>
      <c r="R82" s="31" t="n">
        <v>720</v>
      </c>
      <c r="S82" s="31" t="n">
        <v>200</v>
      </c>
      <c r="T82" s="31" t="inlineStr">
        <is>
          <t>C</t>
        </is>
      </c>
      <c r="U82" s="31" t="inlineStr">
        <is>
          <t>Balanced</t>
        </is>
      </c>
      <c r="V82" s="31" t="inlineStr">
        <is>
          <t>NEW DEVELOPMENT RESULT</t>
        </is>
      </c>
      <c r="W82" s="31" t="n">
        <v>0.0014635554458517</v>
      </c>
    </row>
    <row r="83" ht="24" customHeight="1">
      <c r="A83" s="31" t="inlineStr">
        <is>
          <t>D005__DTT__8101</t>
        </is>
      </c>
      <c r="B83" s="31" t="inlineStr">
        <is>
          <t>D005</t>
        </is>
      </c>
      <c r="C83" s="31" t="inlineStr">
        <is>
          <t>DTT</t>
        </is>
      </c>
      <c r="D83" s="31" t="n">
        <v>8101</v>
      </c>
      <c r="E83" s="31" t="n">
        <v>375</v>
      </c>
      <c r="F83" s="33" t="n">
        <v>363.3253333333333</v>
      </c>
      <c r="G83" s="33" t="n">
        <v>970.4460590582024</v>
      </c>
      <c r="H83" s="33" t="n">
        <v>3617.876426666666</v>
      </c>
      <c r="I83" s="33" t="n">
        <v>411</v>
      </c>
      <c r="J83" s="33" t="n">
        <v>0.0986666666666666</v>
      </c>
      <c r="K83" s="33" t="n">
        <v>236.9867724867725</v>
      </c>
      <c r="L83" s="33" t="n">
        <v>578.6863631529501</v>
      </c>
      <c r="M83" s="33" t="n">
        <v>582660.7174186411</v>
      </c>
      <c r="N83" s="33" t="n">
        <v>73007</v>
      </c>
      <c r="O83" s="34" t="n">
        <v>0.7161824129305369</v>
      </c>
      <c r="P83" s="34" t="n">
        <v>0.1574952304600217</v>
      </c>
      <c r="Q83" s="34" t="n">
        <v>0.1338626986143432</v>
      </c>
      <c r="R83" s="31" t="n">
        <v>720</v>
      </c>
      <c r="S83" s="31" t="n">
        <v>200</v>
      </c>
      <c r="T83" s="31" t="inlineStr">
        <is>
          <t>C</t>
        </is>
      </c>
      <c r="U83" s="31" t="inlineStr">
        <is>
          <t>Balanced</t>
        </is>
      </c>
      <c r="V83" s="31" t="inlineStr">
        <is>
          <t>NEW DEVELOPMENT RESULT</t>
        </is>
      </c>
      <c r="W83" s="31" t="n">
        <v>0.0013697271114554</v>
      </c>
    </row>
    <row r="84" ht="24" customHeight="1">
      <c r="A84" s="31" t="inlineStr">
        <is>
          <t>D005__DTT__8102</t>
        </is>
      </c>
      <c r="B84" s="31" t="inlineStr">
        <is>
          <t>D005</t>
        </is>
      </c>
      <c r="C84" s="31" t="inlineStr">
        <is>
          <t>DTT</t>
        </is>
      </c>
      <c r="D84" s="31" t="n">
        <v>8102</v>
      </c>
      <c r="E84" s="31" t="n">
        <v>392</v>
      </c>
      <c r="F84" s="33" t="n">
        <v>369.0867346938775</v>
      </c>
      <c r="G84" s="33" t="n">
        <v>981.101953448848</v>
      </c>
      <c r="H84" s="33" t="n">
        <v>3614.031428571428</v>
      </c>
      <c r="I84" s="33" t="n">
        <v>430.45</v>
      </c>
      <c r="J84" s="33" t="n">
        <v>0.125</v>
      </c>
      <c r="K84" s="33" t="n">
        <v>238.7777777777778</v>
      </c>
      <c r="L84" s="33" t="n">
        <v>583.9838383188488</v>
      </c>
      <c r="M84" s="33" t="n">
        <v>610593.7111813428</v>
      </c>
      <c r="N84" s="33" t="n">
        <v>72367</v>
      </c>
      <c r="O84" s="34" t="n">
        <v>0.7481644640234949</v>
      </c>
      <c r="P84" s="34" t="n">
        <v>0.1839220118192263</v>
      </c>
      <c r="Q84" s="34" t="n">
        <v>0.1420907994571074</v>
      </c>
      <c r="R84" s="31" t="n">
        <v>720</v>
      </c>
      <c r="S84" s="31" t="n">
        <v>200</v>
      </c>
      <c r="T84" s="31" t="inlineStr">
        <is>
          <t>C</t>
        </is>
      </c>
      <c r="U84" s="31" t="inlineStr">
        <is>
          <t>Balanced</t>
        </is>
      </c>
      <c r="V84" s="31" t="inlineStr">
        <is>
          <t>NEW DEVELOPMENT RESULT</t>
        </is>
      </c>
      <c r="W84" s="31" t="n">
        <v>0.0013833611392272</v>
      </c>
    </row>
    <row r="85" ht="24" customHeight="1">
      <c r="A85" s="31" t="inlineStr">
        <is>
          <t>D005__DTT__8103</t>
        </is>
      </c>
      <c r="B85" s="31" t="inlineStr">
        <is>
          <t>D005</t>
        </is>
      </c>
      <c r="C85" s="31" t="inlineStr">
        <is>
          <t>DTT</t>
        </is>
      </c>
      <c r="D85" s="31" t="n">
        <v>8103</v>
      </c>
      <c r="E85" s="31" t="n">
        <v>361</v>
      </c>
      <c r="F85" s="33" t="n">
        <v>360.9335180055402</v>
      </c>
      <c r="G85" s="33" t="n">
        <v>958.819474497978</v>
      </c>
      <c r="H85" s="33" t="n">
        <v>3634.414515235457</v>
      </c>
      <c r="I85" s="33" t="n">
        <v>412</v>
      </c>
      <c r="J85" s="33" t="n">
        <v>0.1412742382271468</v>
      </c>
      <c r="K85" s="33" t="n">
        <v>237.0275689223058</v>
      </c>
      <c r="L85" s="33" t="n">
        <v>579.2319598187086</v>
      </c>
      <c r="M85" s="33" t="n">
        <v>577247.3822614348</v>
      </c>
      <c r="N85" s="33" t="n">
        <v>67146</v>
      </c>
      <c r="O85" s="34" t="n">
        <v>0.7612176319430718</v>
      </c>
      <c r="P85" s="34" t="n">
        <v>0.1736708696427519</v>
      </c>
      <c r="Q85" s="34" t="n">
        <v>0.1524202875186684</v>
      </c>
      <c r="R85" s="31" t="n">
        <v>720</v>
      </c>
      <c r="S85" s="31" t="n">
        <v>200</v>
      </c>
      <c r="T85" s="31" t="inlineStr">
        <is>
          <t>C</t>
        </is>
      </c>
      <c r="U85" s="31" t="inlineStr">
        <is>
          <t>Balanced</t>
        </is>
      </c>
      <c r="V85" s="31" t="inlineStr">
        <is>
          <t>NEW DEVELOPMENT RESULT</t>
        </is>
      </c>
      <c r="W85" s="31" t="n">
        <v>0.0014193955723967</v>
      </c>
    </row>
    <row r="86" ht="24" customHeight="1">
      <c r="A86" s="31" t="inlineStr">
        <is>
          <t>D005__ECO__8101</t>
        </is>
      </c>
      <c r="B86" s="31" t="inlineStr">
        <is>
          <t>D005</t>
        </is>
      </c>
      <c r="C86" s="31" t="inlineStr">
        <is>
          <t>ECO</t>
        </is>
      </c>
      <c r="D86" s="31" t="n">
        <v>8101</v>
      </c>
      <c r="E86" s="31" t="n">
        <v>375</v>
      </c>
      <c r="F86" s="33" t="n">
        <v>360.144</v>
      </c>
      <c r="G86" s="33" t="n">
        <v>963.2389471282248</v>
      </c>
      <c r="H86" s="33" t="n">
        <v>3332.579040000001</v>
      </c>
      <c r="I86" s="33" t="n">
        <v>462.3</v>
      </c>
      <c r="J86" s="33" t="n">
        <v>0.0986666666666666</v>
      </c>
      <c r="K86" s="33" t="n">
        <v>238.1455026455026</v>
      </c>
      <c r="L86" s="33" t="n">
        <v>581.8011070238584</v>
      </c>
      <c r="M86" s="33" t="n">
        <v>581135.4236281029</v>
      </c>
      <c r="N86" s="33" t="n">
        <v>80210</v>
      </c>
      <c r="O86" s="34" t="n">
        <v>0.1419712070874861</v>
      </c>
      <c r="P86" s="34" t="n">
        <v>0.0673901967925646</v>
      </c>
      <c r="Q86" s="34" t="n">
        <v>-0.0105974476602017</v>
      </c>
      <c r="R86" s="31" t="n">
        <v>720</v>
      </c>
      <c r="S86" s="31" t="n">
        <v>200</v>
      </c>
      <c r="T86" s="31" t="inlineStr">
        <is>
          <t>C</t>
        </is>
      </c>
      <c r="U86" s="31" t="inlineStr">
        <is>
          <t>Balanced</t>
        </is>
      </c>
      <c r="V86" s="31" t="inlineStr">
        <is>
          <t>NEW DEVELOPMENT RESULT</t>
        </is>
      </c>
      <c r="W86" s="31" t="n">
        <v>0.0014077294129449</v>
      </c>
    </row>
    <row r="87" ht="24" customHeight="1">
      <c r="A87" s="31" t="inlineStr">
        <is>
          <t>D005__ECO__8102</t>
        </is>
      </c>
      <c r="B87" s="31" t="inlineStr">
        <is>
          <t>D005</t>
        </is>
      </c>
      <c r="C87" s="31" t="inlineStr">
        <is>
          <t>ECO</t>
        </is>
      </c>
      <c r="D87" s="31" t="n">
        <v>8102</v>
      </c>
      <c r="E87" s="31" t="n">
        <v>392</v>
      </c>
      <c r="F87" s="33" t="n">
        <v>340.1122448979592</v>
      </c>
      <c r="G87" s="33" t="n">
        <v>913.9420909778142</v>
      </c>
      <c r="H87" s="33" t="n">
        <v>3203.720000000001</v>
      </c>
      <c r="I87" s="33" t="n">
        <v>361</v>
      </c>
      <c r="J87" s="33" t="n">
        <v>0.125</v>
      </c>
      <c r="K87" s="33" t="n">
        <v>238.7777777777778</v>
      </c>
      <c r="L87" s="33" t="n">
        <v>583.9838383188488</v>
      </c>
      <c r="M87" s="33" t="n">
        <v>584267.0450926977</v>
      </c>
      <c r="N87" s="33" t="n">
        <v>76961</v>
      </c>
      <c r="O87" s="34" t="n">
        <v>0</v>
      </c>
      <c r="P87" s="34" t="n">
        <v>0.0485971354171607</v>
      </c>
      <c r="Q87" s="34" t="n">
        <v>0.0042329017209201</v>
      </c>
      <c r="R87" s="31" t="n">
        <v>720</v>
      </c>
      <c r="S87" s="31" t="n">
        <v>200</v>
      </c>
      <c r="T87" s="31" t="inlineStr">
        <is>
          <t>C</t>
        </is>
      </c>
      <c r="U87" s="31" t="inlineStr">
        <is>
          <t>Balanced</t>
        </is>
      </c>
      <c r="V87" s="31" t="inlineStr">
        <is>
          <t>NEW DEVELOPMENT RESULT</t>
        </is>
      </c>
      <c r="W87" s="31" t="n">
        <v>0.00145762124323</v>
      </c>
    </row>
    <row r="88" ht="24" customHeight="1">
      <c r="A88" s="31" t="inlineStr">
        <is>
          <t>D005__ECO__8103</t>
        </is>
      </c>
      <c r="B88" s="31" t="inlineStr">
        <is>
          <t>D005</t>
        </is>
      </c>
      <c r="C88" s="31" t="inlineStr">
        <is>
          <t>ECO</t>
        </is>
      </c>
      <c r="D88" s="31" t="n">
        <v>8103</v>
      </c>
      <c r="E88" s="31" t="n">
        <v>361</v>
      </c>
      <c r="F88" s="33" t="n">
        <v>345.3795013850416</v>
      </c>
      <c r="G88" s="33" t="n">
        <v>926.6294472712418</v>
      </c>
      <c r="H88" s="33" t="n">
        <v>3203.72</v>
      </c>
      <c r="I88" s="33" t="n">
        <v>384</v>
      </c>
      <c r="J88" s="33" t="n">
        <v>0.1412742382271468</v>
      </c>
      <c r="K88" s="33" t="n">
        <v>237.0275689223058</v>
      </c>
      <c r="L88" s="33" t="n">
        <v>579.2319598187086</v>
      </c>
      <c r="M88" s="33" t="n">
        <v>565626.782432583</v>
      </c>
      <c r="N88" s="33" t="n">
        <v>75100</v>
      </c>
      <c r="O88" s="34" t="n">
        <v>0</v>
      </c>
      <c r="P88" s="34" t="n">
        <v>0.0607166716042447</v>
      </c>
      <c r="Q88" s="34" t="n">
        <v>0.0035410438892261</v>
      </c>
      <c r="R88" s="31" t="n">
        <v>720</v>
      </c>
      <c r="S88" s="31" t="n">
        <v>200</v>
      </c>
      <c r="T88" s="31" t="inlineStr">
        <is>
          <t>C</t>
        </is>
      </c>
      <c r="U88" s="31" t="inlineStr">
        <is>
          <t>Balanced</t>
        </is>
      </c>
      <c r="V88" s="31" t="inlineStr">
        <is>
          <t>NEW DEVELOPMENT RESULT</t>
        </is>
      </c>
      <c r="W88" s="31" t="n">
        <v>0.0014635554458517</v>
      </c>
    </row>
    <row r="89" ht="24" customHeight="1">
      <c r="A89" s="31" t="inlineStr">
        <is>
          <t>D005__TECO05__8101</t>
        </is>
      </c>
      <c r="B89" s="31" t="inlineStr">
        <is>
          <t>D005</t>
        </is>
      </c>
      <c r="C89" s="31" t="inlineStr">
        <is>
          <t>TECO05</t>
        </is>
      </c>
      <c r="D89" s="31" t="n">
        <v>8101</v>
      </c>
      <c r="E89" s="31" t="n">
        <v>375</v>
      </c>
      <c r="F89" s="33" t="n">
        <v>359.8</v>
      </c>
      <c r="G89" s="33" t="n">
        <v>967.1249827822307</v>
      </c>
      <c r="H89" s="33" t="n">
        <v>3597.511173333333</v>
      </c>
      <c r="I89" s="33" t="n">
        <v>404</v>
      </c>
      <c r="J89" s="33" t="n">
        <v>0.0986666666666666</v>
      </c>
      <c r="K89" s="33" t="n">
        <v>236.9867724867725</v>
      </c>
      <c r="L89" s="33" t="n">
        <v>578.6863631529501</v>
      </c>
      <c r="M89" s="33" t="n">
        <v>581415.3138151516</v>
      </c>
      <c r="N89" s="33" t="n">
        <v>73194</v>
      </c>
      <c r="O89" s="34" t="n">
        <v>0.6186473807662236</v>
      </c>
      <c r="P89" s="34" t="n">
        <v>0.184953474766801</v>
      </c>
      <c r="Q89" s="34" t="n">
        <v>0.1364473364932154</v>
      </c>
      <c r="R89" s="31" t="n">
        <v>720</v>
      </c>
      <c r="S89" s="31" t="n">
        <v>200</v>
      </c>
      <c r="T89" s="31" t="inlineStr">
        <is>
          <t>C</t>
        </is>
      </c>
      <c r="U89" s="31" t="inlineStr">
        <is>
          <t>Balanced</t>
        </is>
      </c>
      <c r="V89" s="31" t="inlineStr">
        <is>
          <t>NEW DEVELOPMENT RESULT</t>
        </is>
      </c>
      <c r="W89" s="31" t="n">
        <v>0.0013543870988681</v>
      </c>
    </row>
    <row r="90" ht="24" customHeight="1">
      <c r="A90" s="31" t="inlineStr">
        <is>
          <t>D005__TECO05__8102</t>
        </is>
      </c>
      <c r="B90" s="31" t="inlineStr">
        <is>
          <t>D005</t>
        </is>
      </c>
      <c r="C90" s="31" t="inlineStr">
        <is>
          <t>TECO05</t>
        </is>
      </c>
      <c r="D90" s="31" t="n">
        <v>8102</v>
      </c>
      <c r="E90" s="31" t="n">
        <v>392</v>
      </c>
      <c r="F90" s="33" t="n">
        <v>361.2959183673469</v>
      </c>
      <c r="G90" s="33" t="n">
        <v>973.7932381814888</v>
      </c>
      <c r="H90" s="33" t="n">
        <v>3569.483903061224</v>
      </c>
      <c r="I90" s="33" t="n">
        <v>418</v>
      </c>
      <c r="J90" s="33" t="n">
        <v>0.125</v>
      </c>
      <c r="K90" s="33" t="n">
        <v>238.7777777777778</v>
      </c>
      <c r="L90" s="33" t="n">
        <v>583.9838383188488</v>
      </c>
      <c r="M90" s="33" t="n">
        <v>607728.6947965381</v>
      </c>
      <c r="N90" s="33" t="n">
        <v>72883</v>
      </c>
      <c r="O90" s="34" t="n">
        <v>0.6274361400189215</v>
      </c>
      <c r="P90" s="34" t="n">
        <v>0.1580907562211114</v>
      </c>
      <c r="Q90" s="34" t="n">
        <v>0.09924345047630689</v>
      </c>
      <c r="R90" s="31" t="n">
        <v>720</v>
      </c>
      <c r="S90" s="31" t="n">
        <v>200</v>
      </c>
      <c r="T90" s="31" t="inlineStr">
        <is>
          <t>C</t>
        </is>
      </c>
      <c r="U90" s="31" t="inlineStr">
        <is>
          <t>Balanced</t>
        </is>
      </c>
      <c r="V90" s="31" t="inlineStr">
        <is>
          <t>NEW DEVELOPMENT RESULT</t>
        </is>
      </c>
      <c r="W90" s="31" t="n">
        <v>0.0013690759463756</v>
      </c>
    </row>
    <row r="91" ht="24" customHeight="1">
      <c r="A91" s="31" t="inlineStr">
        <is>
          <t>D005__TECO05__8103</t>
        </is>
      </c>
      <c r="B91" s="31" t="inlineStr">
        <is>
          <t>D005</t>
        </is>
      </c>
      <c r="C91" s="31" t="inlineStr">
        <is>
          <t>TECO05</t>
        </is>
      </c>
      <c r="D91" s="31" t="n">
        <v>8103</v>
      </c>
      <c r="E91" s="31" t="n">
        <v>361</v>
      </c>
      <c r="F91" s="33" t="n">
        <v>358.0997229916898</v>
      </c>
      <c r="G91" s="33" t="n">
        <v>965.1906248274324</v>
      </c>
      <c r="H91" s="33" t="n">
        <v>3590.824099722992</v>
      </c>
      <c r="I91" s="33" t="n">
        <v>400</v>
      </c>
      <c r="J91" s="33" t="n">
        <v>0.1412742382271468</v>
      </c>
      <c r="K91" s="33" t="n">
        <v>237.0426065162908</v>
      </c>
      <c r="L91" s="33" t="n">
        <v>579.2678937219974</v>
      </c>
      <c r="M91" s="33" t="n">
        <v>579561.7051577801</v>
      </c>
      <c r="N91" s="33" t="n">
        <v>68943</v>
      </c>
      <c r="O91" s="34" t="n">
        <v>0.6590123958545011</v>
      </c>
      <c r="P91" s="34" t="n">
        <v>0.1485362001471269</v>
      </c>
      <c r="Q91" s="34" t="n">
        <v>0.1083453995178102</v>
      </c>
      <c r="R91" s="31" t="n">
        <v>720</v>
      </c>
      <c r="S91" s="31" t="n">
        <v>200</v>
      </c>
      <c r="T91" s="31" t="inlineStr">
        <is>
          <t>C</t>
        </is>
      </c>
      <c r="U91" s="31" t="inlineStr">
        <is>
          <t>Balanced</t>
        </is>
      </c>
      <c r="V91" s="31" t="inlineStr">
        <is>
          <t>NEW DEVELOPMENT RESULT</t>
        </is>
      </c>
      <c r="W91" s="31" t="n">
        <v>0.0013878140501035</v>
      </c>
    </row>
    <row r="92" ht="24" customHeight="1">
      <c r="A92" s="31" t="inlineStr">
        <is>
          <t>D005__TECO10__8101</t>
        </is>
      </c>
      <c r="B92" s="31" t="inlineStr">
        <is>
          <t>D005</t>
        </is>
      </c>
      <c r="C92" s="31" t="inlineStr">
        <is>
          <t>TECO10</t>
        </is>
      </c>
      <c r="D92" s="31" t="n">
        <v>8101</v>
      </c>
      <c r="E92" s="31" t="n">
        <v>375</v>
      </c>
      <c r="F92" s="33" t="n">
        <v>363.3093333333333</v>
      </c>
      <c r="G92" s="33" t="n">
        <v>983.568035113881</v>
      </c>
      <c r="H92" s="33" t="n">
        <v>3554.366746666667</v>
      </c>
      <c r="I92" s="33" t="n">
        <v>426.3</v>
      </c>
      <c r="J92" s="33" t="n">
        <v>0.0986666666666666</v>
      </c>
      <c r="K92" s="33" t="n">
        <v>236.9867724867725</v>
      </c>
      <c r="L92" s="33" t="n">
        <v>578.6863631529501</v>
      </c>
      <c r="M92" s="33" t="n">
        <v>587581.4584395206</v>
      </c>
      <c r="N92" s="33" t="n">
        <v>76214</v>
      </c>
      <c r="O92" s="34" t="n">
        <v>0.5202974276527331</v>
      </c>
      <c r="P92" s="34" t="n">
        <v>0.1649945318096025</v>
      </c>
      <c r="Q92" s="34" t="n">
        <v>0.0843622465472751</v>
      </c>
      <c r="R92" s="31" t="n">
        <v>720</v>
      </c>
      <c r="S92" s="31" t="n">
        <v>200</v>
      </c>
      <c r="T92" s="31" t="inlineStr">
        <is>
          <t>C</t>
        </is>
      </c>
      <c r="U92" s="31" t="inlineStr">
        <is>
          <t>Balanced</t>
        </is>
      </c>
      <c r="V92" s="31" t="inlineStr">
        <is>
          <t>NEW DEVELOPMENT RESULT</t>
        </is>
      </c>
      <c r="W92" s="31" t="n">
        <v>0.001337343442787</v>
      </c>
    </row>
    <row r="93" ht="24" customHeight="1">
      <c r="A93" s="31" t="inlineStr">
        <is>
          <t>D005__TECO10__8102</t>
        </is>
      </c>
      <c r="B93" s="31" t="inlineStr">
        <is>
          <t>D005</t>
        </is>
      </c>
      <c r="C93" s="31" t="inlineStr">
        <is>
          <t>TECO10</t>
        </is>
      </c>
      <c r="D93" s="31" t="n">
        <v>8102</v>
      </c>
      <c r="E93" s="31" t="n">
        <v>392</v>
      </c>
      <c r="F93" s="33" t="n">
        <v>354.7551020408163</v>
      </c>
      <c r="G93" s="33" t="n">
        <v>966.1132861194895</v>
      </c>
      <c r="H93" s="33" t="n">
        <v>3522.221530612245</v>
      </c>
      <c r="I93" s="33" t="n">
        <v>397.9</v>
      </c>
      <c r="J93" s="33" t="n">
        <v>0.125</v>
      </c>
      <c r="K93" s="33" t="n">
        <v>238.7777777777778</v>
      </c>
      <c r="L93" s="33" t="n">
        <v>583.9838383188488</v>
      </c>
      <c r="M93" s="33" t="n">
        <v>604718.1535882344</v>
      </c>
      <c r="N93" s="33" t="n">
        <v>73597</v>
      </c>
      <c r="O93" s="34" t="n">
        <v>0.5225137039937353</v>
      </c>
      <c r="P93" s="34" t="n">
        <v>0.1146530007511523</v>
      </c>
      <c r="Q93" s="34" t="n">
        <v>0.06293625215004151</v>
      </c>
      <c r="R93" s="31" t="n">
        <v>720</v>
      </c>
      <c r="S93" s="31" t="n">
        <v>200</v>
      </c>
      <c r="T93" s="31" t="inlineStr">
        <is>
          <t>C</t>
        </is>
      </c>
      <c r="U93" s="31" t="inlineStr">
        <is>
          <t>Balanced</t>
        </is>
      </c>
      <c r="V93" s="31" t="inlineStr">
        <is>
          <t>NEW DEVELOPMENT RESULT</t>
        </is>
      </c>
      <c r="W93" s="31" t="n">
        <v>0.0013599277248231</v>
      </c>
    </row>
    <row r="94" ht="24" customHeight="1">
      <c r="A94" s="31" t="inlineStr">
        <is>
          <t>D005__TECO10__8103</t>
        </is>
      </c>
      <c r="B94" s="31" t="inlineStr">
        <is>
          <t>D005</t>
        </is>
      </c>
      <c r="C94" s="31" t="inlineStr">
        <is>
          <t>TECO10</t>
        </is>
      </c>
      <c r="D94" s="31" t="n">
        <v>8103</v>
      </c>
      <c r="E94" s="31" t="n">
        <v>361</v>
      </c>
      <c r="F94" s="33" t="n">
        <v>352.224376731302</v>
      </c>
      <c r="G94" s="33" t="n">
        <v>956.5968729924018</v>
      </c>
      <c r="H94" s="33" t="n">
        <v>3526.978725761774</v>
      </c>
      <c r="I94" s="33" t="n">
        <v>393</v>
      </c>
      <c r="J94" s="33" t="n">
        <v>0.1412742382271468</v>
      </c>
      <c r="K94" s="33" t="n">
        <v>237.0275689223058</v>
      </c>
      <c r="L94" s="33" t="n">
        <v>579.2319598187086</v>
      </c>
      <c r="M94" s="33" t="n">
        <v>576445.0231179218</v>
      </c>
      <c r="N94" s="33" t="n">
        <v>69890</v>
      </c>
      <c r="O94" s="34" t="n">
        <v>0.5310710498409332</v>
      </c>
      <c r="P94" s="34" t="n">
        <v>0.1149904837833269</v>
      </c>
      <c r="Q94" s="34" t="n">
        <v>0.0735461404968934</v>
      </c>
      <c r="R94" s="31" t="n">
        <v>720</v>
      </c>
      <c r="S94" s="31" t="n">
        <v>200</v>
      </c>
      <c r="T94" s="31" t="inlineStr">
        <is>
          <t>C</t>
        </is>
      </c>
      <c r="U94" s="31" t="inlineStr">
        <is>
          <t>Balanced</t>
        </is>
      </c>
      <c r="V94" s="31" t="inlineStr">
        <is>
          <t>NEW DEVELOPMENT RESULT</t>
        </is>
      </c>
      <c r="W94" s="31" t="n">
        <v>0.0013809862942706</v>
      </c>
    </row>
    <row r="95" ht="24" customHeight="1">
      <c r="A95" s="31" t="inlineStr">
        <is>
          <t>D005__TECO15__8101</t>
        </is>
      </c>
      <c r="B95" s="31" t="inlineStr">
        <is>
          <t>D005</t>
        </is>
      </c>
      <c r="C95" s="31" t="inlineStr">
        <is>
          <t>TECO15</t>
        </is>
      </c>
      <c r="D95" s="31" t="n">
        <v>8101</v>
      </c>
      <c r="E95" s="31" t="n">
        <v>375</v>
      </c>
      <c r="F95" s="33" t="n">
        <v>359.4933333333333</v>
      </c>
      <c r="G95" s="33" t="n">
        <v>972.5209970240974</v>
      </c>
      <c r="H95" s="33" t="n">
        <v>3532.953226666667</v>
      </c>
      <c r="I95" s="33" t="n">
        <v>412.3</v>
      </c>
      <c r="J95" s="33" t="n">
        <v>0.0986666666666666</v>
      </c>
      <c r="K95" s="33" t="n">
        <v>237.0396825396825</v>
      </c>
      <c r="L95" s="33" t="n">
        <v>578.825110074165</v>
      </c>
      <c r="M95" s="33" t="n">
        <v>583491.2654920709</v>
      </c>
      <c r="N95" s="33" t="n">
        <v>75750</v>
      </c>
      <c r="O95" s="34" t="n">
        <v>0.4303618354558318</v>
      </c>
      <c r="P95" s="34" t="n">
        <v>0.1096322064343141</v>
      </c>
      <c r="Q95" s="34" t="n">
        <v>0.0425234619748744</v>
      </c>
      <c r="R95" s="31" t="n">
        <v>720</v>
      </c>
      <c r="S95" s="31" t="n">
        <v>200</v>
      </c>
      <c r="T95" s="31" t="inlineStr">
        <is>
          <t>C</t>
        </is>
      </c>
      <c r="U95" s="31" t="inlineStr">
        <is>
          <t>Balanced</t>
        </is>
      </c>
      <c r="V95" s="31" t="inlineStr">
        <is>
          <t>NEW DEVELOPMENT RESULT</t>
        </is>
      </c>
      <c r="W95" s="31" t="n">
        <v>0.001343499603975</v>
      </c>
    </row>
    <row r="96" ht="24" customHeight="1">
      <c r="A96" s="31" t="inlineStr">
        <is>
          <t>D005__TECO15__8102</t>
        </is>
      </c>
      <c r="B96" s="31" t="inlineStr">
        <is>
          <t>D005</t>
        </is>
      </c>
      <c r="C96" s="31" t="inlineStr">
        <is>
          <t>TECO15</t>
        </is>
      </c>
      <c r="D96" s="31" t="n">
        <v>8102</v>
      </c>
      <c r="E96" s="31" t="n">
        <v>392</v>
      </c>
      <c r="F96" s="33" t="n">
        <v>352.7525510204082</v>
      </c>
      <c r="G96" s="33" t="n">
        <v>956.919046092281</v>
      </c>
      <c r="H96" s="33" t="n">
        <v>3512.093290816327</v>
      </c>
      <c r="I96" s="33" t="n">
        <v>395.45</v>
      </c>
      <c r="J96" s="33" t="n">
        <v>0.125</v>
      </c>
      <c r="K96" s="33" t="n">
        <v>238.8682170542636</v>
      </c>
      <c r="L96" s="33" t="n">
        <v>584.1728688893688</v>
      </c>
      <c r="M96" s="33" t="n">
        <v>601187.16632836</v>
      </c>
      <c r="N96" s="33" t="n">
        <v>73427</v>
      </c>
      <c r="O96" s="34" t="n">
        <v>0.4880187025131502</v>
      </c>
      <c r="P96" s="34" t="n">
        <v>0.1170919753799731</v>
      </c>
      <c r="Q96" s="34" t="n">
        <v>0.0549109936487651</v>
      </c>
      <c r="R96" s="31" t="n">
        <v>720</v>
      </c>
      <c r="S96" s="31" t="n">
        <v>200</v>
      </c>
      <c r="T96" s="31" t="inlineStr">
        <is>
          <t>C</t>
        </is>
      </c>
      <c r="U96" s="31" t="inlineStr">
        <is>
          <t>Balanced</t>
        </is>
      </c>
      <c r="V96" s="31" t="inlineStr">
        <is>
          <t>NEW DEVELOPMENT RESULT</t>
        </is>
      </c>
      <c r="W96" s="31" t="n">
        <v>0.0013801513973207</v>
      </c>
    </row>
    <row r="97" ht="24" customHeight="1">
      <c r="A97" s="31" t="inlineStr">
        <is>
          <t>D005__TECO15__8103</t>
        </is>
      </c>
      <c r="B97" s="31" t="inlineStr">
        <is>
          <t>D005</t>
        </is>
      </c>
      <c r="C97" s="31" t="inlineStr">
        <is>
          <t>TECO15</t>
        </is>
      </c>
      <c r="D97" s="31" t="n">
        <v>8103</v>
      </c>
      <c r="E97" s="31" t="n">
        <v>361</v>
      </c>
      <c r="F97" s="33" t="n">
        <v>350.584487534626</v>
      </c>
      <c r="G97" s="33" t="n">
        <v>951.7316000060532</v>
      </c>
      <c r="H97" s="33" t="n">
        <v>3568.689529085873</v>
      </c>
      <c r="I97" s="33" t="n">
        <v>390</v>
      </c>
      <c r="J97" s="33" t="n">
        <v>0.1412742382271468</v>
      </c>
      <c r="K97" s="33" t="n">
        <v>237.0275689223058</v>
      </c>
      <c r="L97" s="33" t="n">
        <v>579.2319598187086</v>
      </c>
      <c r="M97" s="33" t="n">
        <v>574688.65956985</v>
      </c>
      <c r="N97" s="33" t="n">
        <v>68472</v>
      </c>
      <c r="O97" s="34" t="n">
        <v>0.33236333402619</v>
      </c>
      <c r="P97" s="34" t="n">
        <v>0.1022491095943836</v>
      </c>
      <c r="Q97" s="34" t="n">
        <v>0.0481321137971636</v>
      </c>
      <c r="R97" s="31" t="n">
        <v>720</v>
      </c>
      <c r="S97" s="31" t="n">
        <v>200</v>
      </c>
      <c r="T97" s="31" t="inlineStr">
        <is>
          <t>C</t>
        </is>
      </c>
      <c r="U97" s="31" t="inlineStr">
        <is>
          <t>Balanced</t>
        </is>
      </c>
      <c r="V97" s="31" t="inlineStr">
        <is>
          <t>NEW DEVELOPMENT RESULT</t>
        </is>
      </c>
      <c r="W97" s="31" t="n">
        <v>0.0013734924798116</v>
      </c>
    </row>
    <row r="98" ht="24" customHeight="1">
      <c r="A98" s="31" t="inlineStr">
        <is>
          <t>D006__SP__8101</t>
        </is>
      </c>
      <c r="B98" s="31" t="inlineStr">
        <is>
          <t>D006</t>
        </is>
      </c>
      <c r="C98" s="31" t="inlineStr">
        <is>
          <t>SP</t>
        </is>
      </c>
      <c r="D98" s="31" t="n">
        <v>8101</v>
      </c>
      <c r="E98" s="31" t="n">
        <v>375</v>
      </c>
      <c r="F98" s="33" t="n">
        <v>280.992</v>
      </c>
      <c r="G98" s="33" t="n">
        <v>725.5270943139828</v>
      </c>
      <c r="H98" s="33" t="n">
        <v>3203.72</v>
      </c>
      <c r="I98" s="33" t="n">
        <v>309</v>
      </c>
      <c r="J98" s="33" t="n">
        <v>0.0986666666666666</v>
      </c>
      <c r="K98" s="33" t="n">
        <v>246.9867724867725</v>
      </c>
      <c r="L98" s="33" t="n">
        <v>607.6499770611385</v>
      </c>
      <c r="M98" s="33" t="n">
        <v>501764.3516968539</v>
      </c>
      <c r="N98" s="33" t="n">
        <v>54514</v>
      </c>
      <c r="O98" s="34" t="n">
        <v>0</v>
      </c>
      <c r="P98" s="34" t="n">
        <v>0.0700164233610255</v>
      </c>
      <c r="Q98" s="34" t="n">
        <v>0.0223011503524027</v>
      </c>
      <c r="R98" s="31" t="n">
        <v>720</v>
      </c>
      <c r="S98" s="31" t="n">
        <v>200</v>
      </c>
      <c r="T98" s="31" t="inlineStr">
        <is>
          <t>C</t>
        </is>
      </c>
      <c r="U98" s="31" t="inlineStr">
        <is>
          <t>Arterial</t>
        </is>
      </c>
      <c r="V98" s="31" t="inlineStr">
        <is>
          <t>NEW DEVELOPMENT RESULT</t>
        </is>
      </c>
      <c r="W98" s="31" t="n">
        <v>0.0016562735718016</v>
      </c>
    </row>
    <row r="99" ht="24" customHeight="1">
      <c r="A99" s="31" t="inlineStr">
        <is>
          <t>D006__SP__8102</t>
        </is>
      </c>
      <c r="B99" s="31" t="inlineStr">
        <is>
          <t>D006</t>
        </is>
      </c>
      <c r="C99" s="31" t="inlineStr">
        <is>
          <t>SP</t>
        </is>
      </c>
      <c r="D99" s="31" t="n">
        <v>8102</v>
      </c>
      <c r="E99" s="31" t="n">
        <v>392</v>
      </c>
      <c r="F99" s="33" t="n">
        <v>282.5178571428572</v>
      </c>
      <c r="G99" s="33" t="n">
        <v>734.6016724072263</v>
      </c>
      <c r="H99" s="33" t="n">
        <v>3203.720000000001</v>
      </c>
      <c r="I99" s="33" t="n">
        <v>307</v>
      </c>
      <c r="J99" s="33" t="n">
        <v>0.125</v>
      </c>
      <c r="K99" s="33" t="n">
        <v>249.0180878552972</v>
      </c>
      <c r="L99" s="33" t="n">
        <v>613.1871982528231</v>
      </c>
      <c r="M99" s="33" t="n">
        <v>525267.3013074752</v>
      </c>
      <c r="N99" s="33" t="n">
        <v>55623</v>
      </c>
      <c r="O99" s="34" t="n">
        <v>0</v>
      </c>
      <c r="P99" s="34" t="n">
        <v>0.0616660721356598</v>
      </c>
      <c r="Q99" s="34" t="n">
        <v>0.013591717981443</v>
      </c>
      <c r="R99" s="31" t="n">
        <v>720</v>
      </c>
      <c r="S99" s="31" t="n">
        <v>200</v>
      </c>
      <c r="T99" s="31" t="inlineStr">
        <is>
          <t>C</t>
        </is>
      </c>
      <c r="U99" s="31" t="inlineStr">
        <is>
          <t>Arterial</t>
        </is>
      </c>
      <c r="V99" s="31" t="inlineStr">
        <is>
          <t>NEW DEVELOPMENT RESULT</t>
        </is>
      </c>
      <c r="W99" s="31" t="n">
        <v>0.0016691173629806</v>
      </c>
    </row>
    <row r="100" ht="24" customHeight="1">
      <c r="A100" s="31" t="inlineStr">
        <is>
          <t>D006__SP__8103</t>
        </is>
      </c>
      <c r="B100" s="31" t="inlineStr">
        <is>
          <t>D006</t>
        </is>
      </c>
      <c r="C100" s="31" t="inlineStr">
        <is>
          <t>SP</t>
        </is>
      </c>
      <c r="D100" s="31" t="n">
        <v>8103</v>
      </c>
      <c r="E100" s="31" t="n">
        <v>361</v>
      </c>
      <c r="F100" s="33" t="n">
        <v>279.7783933518006</v>
      </c>
      <c r="G100" s="33" t="n">
        <v>723.3402381640799</v>
      </c>
      <c r="H100" s="33" t="n">
        <v>3203.72</v>
      </c>
      <c r="I100" s="33" t="n">
        <v>310</v>
      </c>
      <c r="J100" s="33" t="n">
        <v>0.1412742382271468</v>
      </c>
      <c r="K100" s="33" t="n">
        <v>247.0275689223058</v>
      </c>
      <c r="L100" s="33" t="n">
        <v>607.6764235974201</v>
      </c>
      <c r="M100" s="33" t="n">
        <v>503588.7189926035</v>
      </c>
      <c r="N100" s="33" t="n">
        <v>53105</v>
      </c>
      <c r="O100" s="34" t="n">
        <v>0</v>
      </c>
      <c r="P100" s="34" t="n">
        <v>0.0684991390349334</v>
      </c>
      <c r="Q100" s="34" t="n">
        <v>0.0103665809433778</v>
      </c>
      <c r="R100" s="31" t="n">
        <v>720</v>
      </c>
      <c r="S100" s="31" t="n">
        <v>200</v>
      </c>
      <c r="T100" s="31" t="inlineStr">
        <is>
          <t>C</t>
        </is>
      </c>
      <c r="U100" s="31" t="inlineStr">
        <is>
          <t>Arterial</t>
        </is>
      </c>
      <c r="V100" s="31" t="inlineStr">
        <is>
          <t>NEW DEVELOPMENT RESULT</t>
        </is>
      </c>
      <c r="W100" s="31" t="n">
        <v>0.0016750897095932</v>
      </c>
    </row>
    <row r="101" ht="24" customHeight="1">
      <c r="A101" s="31" t="inlineStr">
        <is>
          <t>D006__DTT__8101</t>
        </is>
      </c>
      <c r="B101" s="31" t="inlineStr">
        <is>
          <t>D006</t>
        </is>
      </c>
      <c r="C101" s="31" t="inlineStr">
        <is>
          <t>DTT</t>
        </is>
      </c>
      <c r="D101" s="31" t="n">
        <v>8101</v>
      </c>
      <c r="E101" s="31" t="n">
        <v>375</v>
      </c>
      <c r="F101" s="33" t="n">
        <v>300.0133333333333</v>
      </c>
      <c r="G101" s="33" t="n">
        <v>782.2380863958329</v>
      </c>
      <c r="H101" s="33" t="n">
        <v>3326.956453333333</v>
      </c>
      <c r="I101" s="33" t="n">
        <v>446.4000000000002</v>
      </c>
      <c r="J101" s="33" t="n">
        <v>0.0986666666666666</v>
      </c>
      <c r="K101" s="33" t="n">
        <v>246.9867724867725</v>
      </c>
      <c r="L101" s="33" t="n">
        <v>607.6499770611385</v>
      </c>
      <c r="M101" s="33" t="n">
        <v>523030.9737275477</v>
      </c>
      <c r="N101" s="33" t="n">
        <v>58715</v>
      </c>
      <c r="O101" s="34" t="n">
        <v>0.2519187358916478</v>
      </c>
      <c r="P101" s="34" t="n">
        <v>0.1148886551791914</v>
      </c>
      <c r="Q101" s="34" t="n">
        <v>0.0489176136796516</v>
      </c>
      <c r="R101" s="31" t="n">
        <v>720</v>
      </c>
      <c r="S101" s="31" t="n">
        <v>200</v>
      </c>
      <c r="T101" s="31" t="inlineStr">
        <is>
          <t>C</t>
        </is>
      </c>
      <c r="U101" s="31" t="inlineStr">
        <is>
          <t>Arterial</t>
        </is>
      </c>
      <c r="V101" s="31" t="inlineStr">
        <is>
          <t>NEW DEVELOPMENT RESULT</t>
        </is>
      </c>
      <c r="W101" s="31" t="n">
        <v>0.0015741703475166</v>
      </c>
    </row>
    <row r="102" ht="24" customHeight="1">
      <c r="A102" s="31" t="inlineStr">
        <is>
          <t>D006__DTT__8102</t>
        </is>
      </c>
      <c r="B102" s="31" t="inlineStr">
        <is>
          <t>D006</t>
        </is>
      </c>
      <c r="C102" s="31" t="inlineStr">
        <is>
          <t>DTT</t>
        </is>
      </c>
      <c r="D102" s="31" t="n">
        <v>8102</v>
      </c>
      <c r="E102" s="31" t="n">
        <v>392</v>
      </c>
      <c r="F102" s="33" t="n">
        <v>302.0127551020408</v>
      </c>
      <c r="G102" s="33" t="n">
        <v>794.7407701327141</v>
      </c>
      <c r="H102" s="33" t="n">
        <v>3354.167959183674</v>
      </c>
      <c r="I102" s="33" t="n">
        <v>423</v>
      </c>
      <c r="J102" s="33" t="n">
        <v>0.125</v>
      </c>
      <c r="K102" s="33" t="n">
        <v>249.0180878552972</v>
      </c>
      <c r="L102" s="33" t="n">
        <v>613.1871982528231</v>
      </c>
      <c r="M102" s="33" t="n">
        <v>548841.8276158664</v>
      </c>
      <c r="N102" s="33" t="n">
        <v>59502</v>
      </c>
      <c r="O102" s="34" t="n">
        <v>0.3246587030716723</v>
      </c>
      <c r="P102" s="34" t="n">
        <v>0.1418380093283837</v>
      </c>
      <c r="Q102" s="34" t="n">
        <v>0.07213503947954859</v>
      </c>
      <c r="R102" s="31" t="n">
        <v>720</v>
      </c>
      <c r="S102" s="31" t="n">
        <v>200</v>
      </c>
      <c r="T102" s="31" t="inlineStr">
        <is>
          <t>C</t>
        </is>
      </c>
      <c r="U102" s="31" t="inlineStr">
        <is>
          <t>Arterial</t>
        </is>
      </c>
      <c r="V102" s="31" t="inlineStr">
        <is>
          <t>NEW DEVELOPMENT RESULT</t>
        </is>
      </c>
      <c r="W102" s="31" t="n">
        <v>0.0015690926579033</v>
      </c>
    </row>
    <row r="103" ht="24" customHeight="1">
      <c r="A103" s="31" t="inlineStr">
        <is>
          <t>D006__DTT__8103</t>
        </is>
      </c>
      <c r="B103" s="31" t="inlineStr">
        <is>
          <t>D006</t>
        </is>
      </c>
      <c r="C103" s="31" t="inlineStr">
        <is>
          <t>DTT</t>
        </is>
      </c>
      <c r="D103" s="31" t="n">
        <v>8103</v>
      </c>
      <c r="E103" s="31" t="n">
        <v>361</v>
      </c>
      <c r="F103" s="33" t="n">
        <v>301.7313019390582</v>
      </c>
      <c r="G103" s="33" t="n">
        <v>786.4440544580344</v>
      </c>
      <c r="H103" s="33" t="n">
        <v>3350.392243767313</v>
      </c>
      <c r="I103" s="33" t="n">
        <v>433</v>
      </c>
      <c r="J103" s="33" t="n">
        <v>0.1412742382271468</v>
      </c>
      <c r="K103" s="33" t="n">
        <v>247.0275689223058</v>
      </c>
      <c r="L103" s="33" t="n">
        <v>607.6764235974201</v>
      </c>
      <c r="M103" s="33" t="n">
        <v>526369.1966747211</v>
      </c>
      <c r="N103" s="33" t="n">
        <v>57210</v>
      </c>
      <c r="O103" s="34" t="n">
        <v>0.3096833834065172</v>
      </c>
      <c r="P103" s="34" t="n">
        <v>0.1174671715764973</v>
      </c>
      <c r="Q103" s="34" t="n">
        <v>0.0747364077868619</v>
      </c>
      <c r="R103" s="31" t="n">
        <v>720</v>
      </c>
      <c r="S103" s="31" t="n">
        <v>200</v>
      </c>
      <c r="T103" s="31" t="inlineStr">
        <is>
          <t>C</t>
        </is>
      </c>
      <c r="U103" s="31" t="inlineStr">
        <is>
          <t>Arterial</t>
        </is>
      </c>
      <c r="V103" s="31" t="inlineStr">
        <is>
          <t>NEW DEVELOPMENT RESULT</t>
        </is>
      </c>
      <c r="W103" s="31" t="n">
        <v>0.0015897681175545</v>
      </c>
    </row>
    <row r="104" ht="24" customHeight="1">
      <c r="A104" s="31" t="inlineStr">
        <is>
          <t>D006__ECO__8101</t>
        </is>
      </c>
      <c r="B104" s="31" t="inlineStr">
        <is>
          <t>D006</t>
        </is>
      </c>
      <c r="C104" s="31" t="inlineStr">
        <is>
          <t>ECO</t>
        </is>
      </c>
      <c r="D104" s="31" t="n">
        <v>8101</v>
      </c>
      <c r="E104" s="31" t="n">
        <v>375</v>
      </c>
      <c r="F104" s="33" t="n">
        <v>280.992</v>
      </c>
      <c r="G104" s="33" t="n">
        <v>725.5270943139828</v>
      </c>
      <c r="H104" s="33" t="n">
        <v>3203.72</v>
      </c>
      <c r="I104" s="33" t="n">
        <v>309</v>
      </c>
      <c r="J104" s="33" t="n">
        <v>0.0986666666666666</v>
      </c>
      <c r="K104" s="33" t="n">
        <v>246.9867724867725</v>
      </c>
      <c r="L104" s="33" t="n">
        <v>607.6499770611385</v>
      </c>
      <c r="M104" s="33" t="n">
        <v>501764.3516968539</v>
      </c>
      <c r="N104" s="33" t="n">
        <v>54514</v>
      </c>
      <c r="O104" s="34" t="n">
        <v>0</v>
      </c>
      <c r="P104" s="34" t="n">
        <v>0.0700164233610255</v>
      </c>
      <c r="Q104" s="34" t="n">
        <v>0.0223011503524027</v>
      </c>
      <c r="R104" s="31" t="n">
        <v>720</v>
      </c>
      <c r="S104" s="31" t="n">
        <v>200</v>
      </c>
      <c r="T104" s="31" t="inlineStr">
        <is>
          <t>C</t>
        </is>
      </c>
      <c r="U104" s="31" t="inlineStr">
        <is>
          <t>Arterial</t>
        </is>
      </c>
      <c r="V104" s="31" t="inlineStr">
        <is>
          <t>NEW DEVELOPMENT RESULT</t>
        </is>
      </c>
      <c r="W104" s="31" t="n">
        <v>0.0016562735718016</v>
      </c>
    </row>
    <row r="105" ht="24" customHeight="1">
      <c r="A105" s="31" t="inlineStr">
        <is>
          <t>D006__ECO__8102</t>
        </is>
      </c>
      <c r="B105" s="31" t="inlineStr">
        <is>
          <t>D006</t>
        </is>
      </c>
      <c r="C105" s="31" t="inlineStr">
        <is>
          <t>ECO</t>
        </is>
      </c>
      <c r="D105" s="31" t="n">
        <v>8102</v>
      </c>
      <c r="E105" s="31" t="n">
        <v>392</v>
      </c>
      <c r="F105" s="33" t="n">
        <v>282.5178571428572</v>
      </c>
      <c r="G105" s="33" t="n">
        <v>734.6016724072263</v>
      </c>
      <c r="H105" s="33" t="n">
        <v>3203.720000000001</v>
      </c>
      <c r="I105" s="33" t="n">
        <v>307</v>
      </c>
      <c r="J105" s="33" t="n">
        <v>0.125</v>
      </c>
      <c r="K105" s="33" t="n">
        <v>249.0180878552972</v>
      </c>
      <c r="L105" s="33" t="n">
        <v>613.1871982528231</v>
      </c>
      <c r="M105" s="33" t="n">
        <v>525267.3013074752</v>
      </c>
      <c r="N105" s="33" t="n">
        <v>55623</v>
      </c>
      <c r="O105" s="34" t="n">
        <v>0</v>
      </c>
      <c r="P105" s="34" t="n">
        <v>0.0616660721356598</v>
      </c>
      <c r="Q105" s="34" t="n">
        <v>0.013591717981443</v>
      </c>
      <c r="R105" s="31" t="n">
        <v>720</v>
      </c>
      <c r="S105" s="31" t="n">
        <v>200</v>
      </c>
      <c r="T105" s="31" t="inlineStr">
        <is>
          <t>C</t>
        </is>
      </c>
      <c r="U105" s="31" t="inlineStr">
        <is>
          <t>Arterial</t>
        </is>
      </c>
      <c r="V105" s="31" t="inlineStr">
        <is>
          <t>NEW DEVELOPMENT RESULT</t>
        </is>
      </c>
      <c r="W105" s="31" t="n">
        <v>0.0016691173629806</v>
      </c>
    </row>
    <row r="106" ht="24" customHeight="1">
      <c r="A106" s="31" t="inlineStr">
        <is>
          <t>D006__ECO__8103</t>
        </is>
      </c>
      <c r="B106" s="31" t="inlineStr">
        <is>
          <t>D006</t>
        </is>
      </c>
      <c r="C106" s="31" t="inlineStr">
        <is>
          <t>ECO</t>
        </is>
      </c>
      <c r="D106" s="31" t="n">
        <v>8103</v>
      </c>
      <c r="E106" s="31" t="n">
        <v>361</v>
      </c>
      <c r="F106" s="33" t="n">
        <v>279.7783933518006</v>
      </c>
      <c r="G106" s="33" t="n">
        <v>723.3402381640799</v>
      </c>
      <c r="H106" s="33" t="n">
        <v>3203.72</v>
      </c>
      <c r="I106" s="33" t="n">
        <v>310</v>
      </c>
      <c r="J106" s="33" t="n">
        <v>0.1412742382271468</v>
      </c>
      <c r="K106" s="33" t="n">
        <v>247.0275689223058</v>
      </c>
      <c r="L106" s="33" t="n">
        <v>607.6764235974201</v>
      </c>
      <c r="M106" s="33" t="n">
        <v>503588.7189926035</v>
      </c>
      <c r="N106" s="33" t="n">
        <v>53105</v>
      </c>
      <c r="O106" s="34" t="n">
        <v>0</v>
      </c>
      <c r="P106" s="34" t="n">
        <v>0.0684991390349334</v>
      </c>
      <c r="Q106" s="34" t="n">
        <v>0.0103665809433778</v>
      </c>
      <c r="R106" s="31" t="n">
        <v>720</v>
      </c>
      <c r="S106" s="31" t="n">
        <v>200</v>
      </c>
      <c r="T106" s="31" t="inlineStr">
        <is>
          <t>C</t>
        </is>
      </c>
      <c r="U106" s="31" t="inlineStr">
        <is>
          <t>Arterial</t>
        </is>
      </c>
      <c r="V106" s="31" t="inlineStr">
        <is>
          <t>NEW DEVELOPMENT RESULT</t>
        </is>
      </c>
      <c r="W106" s="31" t="n">
        <v>0.0016750897095932</v>
      </c>
    </row>
    <row r="107" ht="24" customHeight="1">
      <c r="A107" s="31" t="inlineStr">
        <is>
          <t>D006__TECO05__8101</t>
        </is>
      </c>
      <c r="B107" s="31" t="inlineStr">
        <is>
          <t>D006</t>
        </is>
      </c>
      <c r="C107" s="31" t="inlineStr">
        <is>
          <t>TECO05</t>
        </is>
      </c>
      <c r="D107" s="31" t="n">
        <v>8101</v>
      </c>
      <c r="E107" s="31" t="n">
        <v>375</v>
      </c>
      <c r="F107" s="33" t="n">
        <v>301.04</v>
      </c>
      <c r="G107" s="33" t="n">
        <v>786.6210553187802</v>
      </c>
      <c r="H107" s="33" t="n">
        <v>3309.0668</v>
      </c>
      <c r="I107" s="33" t="n">
        <v>463.6</v>
      </c>
      <c r="J107" s="33" t="n">
        <v>0.0986666666666666</v>
      </c>
      <c r="K107" s="33" t="n">
        <v>251.5291005291005</v>
      </c>
      <c r="L107" s="33" t="n">
        <v>620.0021270991977</v>
      </c>
      <c r="M107" s="33" t="n">
        <v>529343.6997880392</v>
      </c>
      <c r="N107" s="33" t="n">
        <v>61444</v>
      </c>
      <c r="O107" s="34" t="n">
        <v>0.2033743730050159</v>
      </c>
      <c r="P107" s="34" t="n">
        <v>0.1007868994847182</v>
      </c>
      <c r="Q107" s="34" t="n">
        <v>0.0197236163077295</v>
      </c>
      <c r="R107" s="31" t="n">
        <v>720</v>
      </c>
      <c r="S107" s="31" t="n">
        <v>200</v>
      </c>
      <c r="T107" s="31" t="inlineStr">
        <is>
          <t>C</t>
        </is>
      </c>
      <c r="U107" s="31" t="inlineStr">
        <is>
          <t>Arterial</t>
        </is>
      </c>
      <c r="V107" s="31" t="inlineStr">
        <is>
          <t>NEW DEVELOPMENT RESULT</t>
        </is>
      </c>
      <c r="W107" s="31" t="n">
        <v>0.0015637223121737</v>
      </c>
    </row>
    <row r="108" ht="24" customHeight="1">
      <c r="A108" s="31" t="inlineStr">
        <is>
          <t>D006__TECO05__8102</t>
        </is>
      </c>
      <c r="B108" s="31" t="inlineStr">
        <is>
          <t>D006</t>
        </is>
      </c>
      <c r="C108" s="31" t="inlineStr">
        <is>
          <t>TECO05</t>
        </is>
      </c>
      <c r="D108" s="31" t="n">
        <v>8102</v>
      </c>
      <c r="E108" s="31" t="n">
        <v>392</v>
      </c>
      <c r="F108" s="33" t="n">
        <v>287.9030612244898</v>
      </c>
      <c r="G108" s="33" t="n">
        <v>749.6119536820386</v>
      </c>
      <c r="H108" s="33" t="n">
        <v>3273.711836734694</v>
      </c>
      <c r="I108" s="33" t="n">
        <v>351</v>
      </c>
      <c r="J108" s="33" t="n">
        <v>0.125</v>
      </c>
      <c r="K108" s="33" t="n">
        <v>249.0904392764858</v>
      </c>
      <c r="L108" s="33" t="n">
        <v>613.3702216211105</v>
      </c>
      <c r="M108" s="33" t="n">
        <v>531222.1616107288</v>
      </c>
      <c r="N108" s="33" t="n">
        <v>56059</v>
      </c>
      <c r="O108" s="34" t="n">
        <v>0.1315439219165927</v>
      </c>
      <c r="P108" s="34" t="n">
        <v>0.0974055011520273</v>
      </c>
      <c r="Q108" s="34" t="n">
        <v>0.0457864623211348</v>
      </c>
      <c r="R108" s="31" t="n">
        <v>720</v>
      </c>
      <c r="S108" s="31" t="n">
        <v>200</v>
      </c>
      <c r="T108" s="31" t="inlineStr">
        <is>
          <t>C</t>
        </is>
      </c>
      <c r="U108" s="31" t="inlineStr">
        <is>
          <t>Arterial</t>
        </is>
      </c>
      <c r="V108" s="31" t="inlineStr">
        <is>
          <t>NEW DEVELOPMENT RESULT</t>
        </is>
      </c>
      <c r="W108" s="31" t="n">
        <v>0.0016339473943699</v>
      </c>
    </row>
    <row r="109" ht="24" customHeight="1">
      <c r="A109" s="31" t="inlineStr">
        <is>
          <t>D006__TECO05__8103</t>
        </is>
      </c>
      <c r="B109" s="31" t="inlineStr">
        <is>
          <t>D006</t>
        </is>
      </c>
      <c r="C109" s="31" t="inlineStr">
        <is>
          <t>TECO05</t>
        </is>
      </c>
      <c r="D109" s="31" t="n">
        <v>8103</v>
      </c>
      <c r="E109" s="31" t="n">
        <v>361</v>
      </c>
      <c r="F109" s="33" t="n">
        <v>281.5457063711912</v>
      </c>
      <c r="G109" s="33" t="n">
        <v>729.0659720082876</v>
      </c>
      <c r="H109" s="33" t="n">
        <v>3240.216952908588</v>
      </c>
      <c r="I109" s="33" t="n">
        <v>319</v>
      </c>
      <c r="J109" s="33" t="n">
        <v>0.1412742382271468</v>
      </c>
      <c r="K109" s="33" t="n">
        <v>247.0275689223058</v>
      </c>
      <c r="L109" s="33" t="n">
        <v>607.6764235974201</v>
      </c>
      <c r="M109" s="33" t="n">
        <v>505655.7089103625</v>
      </c>
      <c r="N109" s="33" t="n">
        <v>52970</v>
      </c>
      <c r="O109" s="34" t="n">
        <v>0.0673242909987669</v>
      </c>
      <c r="P109" s="34" t="n">
        <v>0.0880227850667383</v>
      </c>
      <c r="Q109" s="34" t="n">
        <v>0.0296636991988192</v>
      </c>
      <c r="R109" s="31" t="n">
        <v>720</v>
      </c>
      <c r="S109" s="31" t="n">
        <v>200</v>
      </c>
      <c r="T109" s="31" t="inlineStr">
        <is>
          <t>C</t>
        </is>
      </c>
      <c r="U109" s="31" t="inlineStr">
        <is>
          <t>Arterial</t>
        </is>
      </c>
      <c r="V109" s="31" t="inlineStr">
        <is>
          <t>NEW DEVELOPMENT RESULT</t>
        </is>
      </c>
      <c r="W109" s="31" t="n">
        <v>0.0016548128390278</v>
      </c>
    </row>
    <row r="110" ht="24" customHeight="1">
      <c r="A110" s="31" t="inlineStr">
        <is>
          <t>D006__TECO10__8101</t>
        </is>
      </c>
      <c r="B110" s="31" t="inlineStr">
        <is>
          <t>D006</t>
        </is>
      </c>
      <c r="C110" s="31" t="inlineStr">
        <is>
          <t>TECO10</t>
        </is>
      </c>
      <c r="D110" s="31" t="n">
        <v>8101</v>
      </c>
      <c r="E110" s="31" t="n">
        <v>375</v>
      </c>
      <c r="F110" s="33" t="n">
        <v>301.04</v>
      </c>
      <c r="G110" s="33" t="n">
        <v>786.6210553187802</v>
      </c>
      <c r="H110" s="33" t="n">
        <v>3309.0668</v>
      </c>
      <c r="I110" s="33" t="n">
        <v>463.6</v>
      </c>
      <c r="J110" s="33" t="n">
        <v>0.0986666666666666</v>
      </c>
      <c r="K110" s="33" t="n">
        <v>251.5291005291005</v>
      </c>
      <c r="L110" s="33" t="n">
        <v>620.0021270991977</v>
      </c>
      <c r="M110" s="33" t="n">
        <v>529343.6997880392</v>
      </c>
      <c r="N110" s="33" t="n">
        <v>61444</v>
      </c>
      <c r="O110" s="34" t="n">
        <v>0.2033743730050159</v>
      </c>
      <c r="P110" s="34" t="n">
        <v>0.1007868994847182</v>
      </c>
      <c r="Q110" s="34" t="n">
        <v>0.0197236163077295</v>
      </c>
      <c r="R110" s="31" t="n">
        <v>720</v>
      </c>
      <c r="S110" s="31" t="n">
        <v>200</v>
      </c>
      <c r="T110" s="31" t="inlineStr">
        <is>
          <t>C</t>
        </is>
      </c>
      <c r="U110" s="31" t="inlineStr">
        <is>
          <t>Arterial</t>
        </is>
      </c>
      <c r="V110" s="31" t="inlineStr">
        <is>
          <t>NEW DEVELOPMENT RESULT</t>
        </is>
      </c>
      <c r="W110" s="31" t="n">
        <v>0.0015637223121737</v>
      </c>
    </row>
    <row r="111" ht="24" customHeight="1">
      <c r="A111" s="31" t="inlineStr">
        <is>
          <t>D006__TECO10__8102</t>
        </is>
      </c>
      <c r="B111" s="31" t="inlineStr">
        <is>
          <t>D006</t>
        </is>
      </c>
      <c r="C111" s="31" t="inlineStr">
        <is>
          <t>TECO10</t>
        </is>
      </c>
      <c r="D111" s="31" t="n">
        <v>8102</v>
      </c>
      <c r="E111" s="31" t="n">
        <v>392</v>
      </c>
      <c r="F111" s="33" t="n">
        <v>282.5178571428572</v>
      </c>
      <c r="G111" s="33" t="n">
        <v>734.6016724072263</v>
      </c>
      <c r="H111" s="33" t="n">
        <v>3203.720000000001</v>
      </c>
      <c r="I111" s="33" t="n">
        <v>307</v>
      </c>
      <c r="J111" s="33" t="n">
        <v>0.125</v>
      </c>
      <c r="K111" s="33" t="n">
        <v>249.0180878552972</v>
      </c>
      <c r="L111" s="33" t="n">
        <v>613.1871982528231</v>
      </c>
      <c r="M111" s="33" t="n">
        <v>525267.3013074752</v>
      </c>
      <c r="N111" s="33" t="n">
        <v>55623</v>
      </c>
      <c r="O111" s="34" t="n">
        <v>0</v>
      </c>
      <c r="P111" s="34" t="n">
        <v>0.0616660721356598</v>
      </c>
      <c r="Q111" s="34" t="n">
        <v>0.013591717981443</v>
      </c>
      <c r="R111" s="31" t="n">
        <v>720</v>
      </c>
      <c r="S111" s="31" t="n">
        <v>200</v>
      </c>
      <c r="T111" s="31" t="inlineStr">
        <is>
          <t>C</t>
        </is>
      </c>
      <c r="U111" s="31" t="inlineStr">
        <is>
          <t>Arterial</t>
        </is>
      </c>
      <c r="V111" s="31" t="inlineStr">
        <is>
          <t>NEW DEVELOPMENT RESULT</t>
        </is>
      </c>
      <c r="W111" s="31" t="n">
        <v>0.0016691173629806</v>
      </c>
    </row>
    <row r="112" ht="24" customHeight="1">
      <c r="A112" s="31" t="inlineStr">
        <is>
          <t>D006__TECO10__8103</t>
        </is>
      </c>
      <c r="B112" s="31" t="inlineStr">
        <is>
          <t>D006</t>
        </is>
      </c>
      <c r="C112" s="31" t="inlineStr">
        <is>
          <t>TECO10</t>
        </is>
      </c>
      <c r="D112" s="31" t="n">
        <v>8103</v>
      </c>
      <c r="E112" s="31" t="n">
        <v>361</v>
      </c>
      <c r="F112" s="33" t="n">
        <v>279.7783933518006</v>
      </c>
      <c r="G112" s="33" t="n">
        <v>723.3402381640799</v>
      </c>
      <c r="H112" s="33" t="n">
        <v>3203.72</v>
      </c>
      <c r="I112" s="33" t="n">
        <v>310</v>
      </c>
      <c r="J112" s="33" t="n">
        <v>0.1412742382271468</v>
      </c>
      <c r="K112" s="33" t="n">
        <v>247.0275689223058</v>
      </c>
      <c r="L112" s="33" t="n">
        <v>607.6764235974201</v>
      </c>
      <c r="M112" s="33" t="n">
        <v>503588.7189926035</v>
      </c>
      <c r="N112" s="33" t="n">
        <v>53105</v>
      </c>
      <c r="O112" s="34" t="n">
        <v>0</v>
      </c>
      <c r="P112" s="34" t="n">
        <v>0.0684991390349334</v>
      </c>
      <c r="Q112" s="34" t="n">
        <v>0.0103665809433778</v>
      </c>
      <c r="R112" s="31" t="n">
        <v>720</v>
      </c>
      <c r="S112" s="31" t="n">
        <v>200</v>
      </c>
      <c r="T112" s="31" t="inlineStr">
        <is>
          <t>C</t>
        </is>
      </c>
      <c r="U112" s="31" t="inlineStr">
        <is>
          <t>Arterial</t>
        </is>
      </c>
      <c r="V112" s="31" t="inlineStr">
        <is>
          <t>NEW DEVELOPMENT RESULT</t>
        </is>
      </c>
      <c r="W112" s="31" t="n">
        <v>0.0016750897095932</v>
      </c>
    </row>
    <row r="113" ht="24" customHeight="1">
      <c r="A113" s="31" t="inlineStr">
        <is>
          <t>D006__TECO15__8101</t>
        </is>
      </c>
      <c r="B113" s="31" t="inlineStr">
        <is>
          <t>D006</t>
        </is>
      </c>
      <c r="C113" s="31" t="inlineStr">
        <is>
          <t>TECO15</t>
        </is>
      </c>
      <c r="D113" s="31" t="n">
        <v>8101</v>
      </c>
      <c r="E113" s="31" t="n">
        <v>375</v>
      </c>
      <c r="F113" s="33" t="n">
        <v>287.8773333333333</v>
      </c>
      <c r="G113" s="33" t="n">
        <v>748.1937455773505</v>
      </c>
      <c r="H113" s="33" t="n">
        <v>3268.826746666666</v>
      </c>
      <c r="I113" s="33" t="n">
        <v>374</v>
      </c>
      <c r="J113" s="33" t="n">
        <v>0.0986666666666666</v>
      </c>
      <c r="K113" s="33" t="n">
        <v>246.9867724867725</v>
      </c>
      <c r="L113" s="33" t="n">
        <v>607.6454409015624</v>
      </c>
      <c r="M113" s="33" t="n">
        <v>510262.631252297</v>
      </c>
      <c r="N113" s="33" t="n">
        <v>55986</v>
      </c>
      <c r="O113" s="34" t="n">
        <v>0.1174277726001863</v>
      </c>
      <c r="P113" s="34" t="n">
        <v>0.08229748333755579</v>
      </c>
      <c r="Q113" s="34" t="n">
        <v>0.0370364782221501</v>
      </c>
      <c r="R113" s="31" t="n">
        <v>720</v>
      </c>
      <c r="S113" s="31" t="n">
        <v>200</v>
      </c>
      <c r="T113" s="31" t="inlineStr">
        <is>
          <t>C</t>
        </is>
      </c>
      <c r="U113" s="31" t="inlineStr">
        <is>
          <t>Arterial</t>
        </is>
      </c>
      <c r="V113" s="31" t="inlineStr">
        <is>
          <t>NEW DEVELOPMENT RESULT</t>
        </is>
      </c>
      <c r="W113" s="31" t="n">
        <v>0.0016177492999993</v>
      </c>
    </row>
    <row r="114" ht="24" customHeight="1">
      <c r="A114" s="31" t="inlineStr">
        <is>
          <t>D006__TECO15__8102</t>
        </is>
      </c>
      <c r="B114" s="31" t="inlineStr">
        <is>
          <t>D006</t>
        </is>
      </c>
      <c r="C114" s="31" t="inlineStr">
        <is>
          <t>TECO15</t>
        </is>
      </c>
      <c r="D114" s="31" t="n">
        <v>8102</v>
      </c>
      <c r="E114" s="31" t="n">
        <v>392</v>
      </c>
      <c r="F114" s="33" t="n">
        <v>282.5178571428572</v>
      </c>
      <c r="G114" s="33" t="n">
        <v>734.6016724072263</v>
      </c>
      <c r="H114" s="33" t="n">
        <v>3203.720000000001</v>
      </c>
      <c r="I114" s="33" t="n">
        <v>307</v>
      </c>
      <c r="J114" s="33" t="n">
        <v>0.125</v>
      </c>
      <c r="K114" s="33" t="n">
        <v>249.0180878552972</v>
      </c>
      <c r="L114" s="33" t="n">
        <v>613.1871982528231</v>
      </c>
      <c r="M114" s="33" t="n">
        <v>525267.3013074752</v>
      </c>
      <c r="N114" s="33" t="n">
        <v>55623</v>
      </c>
      <c r="O114" s="34" t="n">
        <v>0</v>
      </c>
      <c r="P114" s="34" t="n">
        <v>0.0616660721356598</v>
      </c>
      <c r="Q114" s="34" t="n">
        <v>0.013591717981443</v>
      </c>
      <c r="R114" s="31" t="n">
        <v>720</v>
      </c>
      <c r="S114" s="31" t="n">
        <v>200</v>
      </c>
      <c r="T114" s="31" t="inlineStr">
        <is>
          <t>C</t>
        </is>
      </c>
      <c r="U114" s="31" t="inlineStr">
        <is>
          <t>Arterial</t>
        </is>
      </c>
      <c r="V114" s="31" t="inlineStr">
        <is>
          <t>NEW DEVELOPMENT RESULT</t>
        </is>
      </c>
      <c r="W114" s="31" t="n">
        <v>0.0016691173629806</v>
      </c>
    </row>
    <row r="115" ht="24" customHeight="1">
      <c r="A115" s="31" t="inlineStr">
        <is>
          <t>D006__TECO15__8103</t>
        </is>
      </c>
      <c r="B115" s="31" t="inlineStr">
        <is>
          <t>D006</t>
        </is>
      </c>
      <c r="C115" s="31" t="inlineStr">
        <is>
          <t>TECO15</t>
        </is>
      </c>
      <c r="D115" s="31" t="n">
        <v>8103</v>
      </c>
      <c r="E115" s="31" t="n">
        <v>361</v>
      </c>
      <c r="F115" s="33" t="n">
        <v>279.7783933518006</v>
      </c>
      <c r="G115" s="33" t="n">
        <v>723.3402381640799</v>
      </c>
      <c r="H115" s="33" t="n">
        <v>3203.72</v>
      </c>
      <c r="I115" s="33" t="n">
        <v>310</v>
      </c>
      <c r="J115" s="33" t="n">
        <v>0.1412742382271468</v>
      </c>
      <c r="K115" s="33" t="n">
        <v>247.0275689223058</v>
      </c>
      <c r="L115" s="33" t="n">
        <v>607.6764235974201</v>
      </c>
      <c r="M115" s="33" t="n">
        <v>503588.7189926035</v>
      </c>
      <c r="N115" s="33" t="n">
        <v>53105</v>
      </c>
      <c r="O115" s="34" t="n">
        <v>0</v>
      </c>
      <c r="P115" s="34" t="n">
        <v>0.0684991390349334</v>
      </c>
      <c r="Q115" s="34" t="n">
        <v>0.0103665809433778</v>
      </c>
      <c r="R115" s="31" t="n">
        <v>720</v>
      </c>
      <c r="S115" s="31" t="n">
        <v>200</v>
      </c>
      <c r="T115" s="31" t="inlineStr">
        <is>
          <t>C</t>
        </is>
      </c>
      <c r="U115" s="31" t="inlineStr">
        <is>
          <t>Arterial</t>
        </is>
      </c>
      <c r="V115" s="31" t="inlineStr">
        <is>
          <t>NEW DEVELOPMENT RESULT</t>
        </is>
      </c>
      <c r="W115" s="31" t="n">
        <v>0.0016750897095932</v>
      </c>
    </row>
    <row r="116" ht="24" customHeight="1">
      <c r="A116" s="31" t="inlineStr">
        <is>
          <t>D007__SP__8101</t>
        </is>
      </c>
      <c r="B116" s="31" t="inlineStr">
        <is>
          <t>D007</t>
        </is>
      </c>
      <c r="C116" s="31" t="inlineStr">
        <is>
          <t>SP</t>
        </is>
      </c>
      <c r="D116" s="31" t="n">
        <v>8101</v>
      </c>
      <c r="E116" s="31" t="n">
        <v>375</v>
      </c>
      <c r="F116" s="33" t="n">
        <v>336.7173333333333</v>
      </c>
      <c r="G116" s="33" t="n">
        <v>906.0946823370504</v>
      </c>
      <c r="H116" s="33" t="n">
        <v>3203.72</v>
      </c>
      <c r="I116" s="33" t="n">
        <v>356</v>
      </c>
      <c r="J116" s="33" t="n">
        <v>0.0986666666666666</v>
      </c>
      <c r="K116" s="33" t="n">
        <v>236.9867724867725</v>
      </c>
      <c r="L116" s="33" t="n">
        <v>578.6863631529501</v>
      </c>
      <c r="M116" s="33" t="n">
        <v>558528.951148209</v>
      </c>
      <c r="N116" s="33" t="n">
        <v>78535</v>
      </c>
      <c r="O116" s="34" t="n">
        <v>0</v>
      </c>
      <c r="P116" s="34" t="n">
        <v>0.0466653661994221</v>
      </c>
      <c r="Q116" s="34" t="n">
        <v>0.0150335875234159</v>
      </c>
      <c r="R116" s="31" t="n">
        <v>720</v>
      </c>
      <c r="S116" s="31" t="n">
        <v>200</v>
      </c>
      <c r="T116" s="31" t="inlineStr">
        <is>
          <t>L</t>
        </is>
      </c>
      <c r="U116" s="31" t="inlineStr">
        <is>
          <t>Balanced</t>
        </is>
      </c>
      <c r="V116" s="31" t="inlineStr">
        <is>
          <t>NEW DEVELOPMENT RESULT</t>
        </is>
      </c>
      <c r="W116" s="31" t="n">
        <v>0.00145154017704</v>
      </c>
    </row>
    <row r="117" ht="24" customHeight="1">
      <c r="A117" s="31" t="inlineStr">
        <is>
          <t>D007__SP__8102</t>
        </is>
      </c>
      <c r="B117" s="31" t="inlineStr">
        <is>
          <t>D007</t>
        </is>
      </c>
      <c r="C117" s="31" t="inlineStr">
        <is>
          <t>SP</t>
        </is>
      </c>
      <c r="D117" s="31" t="n">
        <v>8102</v>
      </c>
      <c r="E117" s="31" t="n">
        <v>392</v>
      </c>
      <c r="F117" s="33" t="n">
        <v>337.4872448979592</v>
      </c>
      <c r="G117" s="33" t="n">
        <v>910.7497573812284</v>
      </c>
      <c r="H117" s="33" t="n">
        <v>3203.720000000001</v>
      </c>
      <c r="I117" s="33" t="n">
        <v>357</v>
      </c>
      <c r="J117" s="33" t="n">
        <v>0.125</v>
      </c>
      <c r="K117" s="33" t="n">
        <v>238.7777777777778</v>
      </c>
      <c r="L117" s="33" t="n">
        <v>583.9838383188488</v>
      </c>
      <c r="M117" s="33" t="n">
        <v>583015.6503228361</v>
      </c>
      <c r="N117" s="33" t="n">
        <v>78516</v>
      </c>
      <c r="O117" s="34" t="n">
        <v>0</v>
      </c>
      <c r="P117" s="34" t="n">
        <v>0.0429209820352331</v>
      </c>
      <c r="Q117" s="34" t="n">
        <v>0.0041563172575406</v>
      </c>
      <c r="R117" s="31" t="n">
        <v>720</v>
      </c>
      <c r="S117" s="31" t="n">
        <v>200</v>
      </c>
      <c r="T117" s="31" t="inlineStr">
        <is>
          <t>L</t>
        </is>
      </c>
      <c r="U117" s="31" t="inlineStr">
        <is>
          <t>Balanced</t>
        </is>
      </c>
      <c r="V117" s="31" t="inlineStr">
        <is>
          <t>NEW DEVELOPMENT RESULT</t>
        </is>
      </c>
      <c r="W117" s="31" t="n">
        <v>0.0014535983643061</v>
      </c>
    </row>
    <row r="118" ht="24" customHeight="1">
      <c r="A118" s="31" t="inlineStr">
        <is>
          <t>D007__SP__8103</t>
        </is>
      </c>
      <c r="B118" s="31" t="inlineStr">
        <is>
          <t>D007</t>
        </is>
      </c>
      <c r="C118" s="31" t="inlineStr">
        <is>
          <t>SP</t>
        </is>
      </c>
      <c r="D118" s="31" t="n">
        <v>8103</v>
      </c>
      <c r="E118" s="31" t="n">
        <v>361</v>
      </c>
      <c r="F118" s="33" t="n">
        <v>336.7091412742382</v>
      </c>
      <c r="G118" s="33" t="n">
        <v>906.86264443067</v>
      </c>
      <c r="H118" s="33" t="n">
        <v>3203.72</v>
      </c>
      <c r="I118" s="33" t="n">
        <v>356</v>
      </c>
      <c r="J118" s="33" t="n">
        <v>0.1412742382271468</v>
      </c>
      <c r="K118" s="33" t="n">
        <v>237.0275689223058</v>
      </c>
      <c r="L118" s="33" t="n">
        <v>579.2319598187086</v>
      </c>
      <c r="M118" s="33" t="n">
        <v>558490.9666071367</v>
      </c>
      <c r="N118" s="33" t="n">
        <v>75179</v>
      </c>
      <c r="O118" s="34" t="n">
        <v>0</v>
      </c>
      <c r="P118" s="34" t="n">
        <v>0.0432906112738029</v>
      </c>
      <c r="Q118" s="34" t="n">
        <v>0.005316134053717</v>
      </c>
      <c r="R118" s="31" t="n">
        <v>720</v>
      </c>
      <c r="S118" s="31" t="n">
        <v>200</v>
      </c>
      <c r="T118" s="31" t="inlineStr">
        <is>
          <t>L</t>
        </is>
      </c>
      <c r="U118" s="31" t="inlineStr">
        <is>
          <t>Balanced</t>
        </is>
      </c>
      <c r="V118" s="31" t="inlineStr">
        <is>
          <t>NEW DEVELOPMENT RESULT</t>
        </is>
      </c>
      <c r="W118" s="31" t="n">
        <v>0.0014707610363548</v>
      </c>
    </row>
    <row r="119" ht="24" customHeight="1">
      <c r="A119" s="31" t="inlineStr">
        <is>
          <t>D007__DTT__8101</t>
        </is>
      </c>
      <c r="B119" s="31" t="inlineStr">
        <is>
          <t>D007</t>
        </is>
      </c>
      <c r="C119" s="31" t="inlineStr">
        <is>
          <t>DTT</t>
        </is>
      </c>
      <c r="D119" s="31" t="n">
        <v>8101</v>
      </c>
      <c r="E119" s="31" t="n">
        <v>375</v>
      </c>
      <c r="F119" s="33" t="n">
        <v>366.0533333333333</v>
      </c>
      <c r="G119" s="33" t="n">
        <v>978.8225559315874</v>
      </c>
      <c r="H119" s="33" t="n">
        <v>3626.485413333333</v>
      </c>
      <c r="I119" s="33" t="n">
        <v>416</v>
      </c>
      <c r="J119" s="33" t="n">
        <v>0.0986666666666666</v>
      </c>
      <c r="K119" s="33" t="n">
        <v>236.9867724867725</v>
      </c>
      <c r="L119" s="33" t="n">
        <v>578.6863631529501</v>
      </c>
      <c r="M119" s="33" t="n">
        <v>585801.9037461604</v>
      </c>
      <c r="N119" s="33" t="n">
        <v>72225</v>
      </c>
      <c r="O119" s="34" t="n">
        <v>0.7137917787168652</v>
      </c>
      <c r="P119" s="34" t="n">
        <v>0.1679903972631142</v>
      </c>
      <c r="Q119" s="34" t="n">
        <v>0.130088418937268</v>
      </c>
      <c r="R119" s="31" t="n">
        <v>720</v>
      </c>
      <c r="S119" s="31" t="n">
        <v>200</v>
      </c>
      <c r="T119" s="31" t="inlineStr">
        <is>
          <t>L</t>
        </is>
      </c>
      <c r="U119" s="31" t="inlineStr">
        <is>
          <t>Balanced</t>
        </is>
      </c>
      <c r="V119" s="31" t="inlineStr">
        <is>
          <t>NEW DEVELOPMENT RESULT</t>
        </is>
      </c>
      <c r="W119" s="31" t="n">
        <v>0.0013640656023248</v>
      </c>
    </row>
    <row r="120" ht="24" customHeight="1">
      <c r="A120" s="31" t="inlineStr">
        <is>
          <t>D007__DTT__8102</t>
        </is>
      </c>
      <c r="B120" s="31" t="inlineStr">
        <is>
          <t>D007</t>
        </is>
      </c>
      <c r="C120" s="31" t="inlineStr">
        <is>
          <t>DTT</t>
        </is>
      </c>
      <c r="D120" s="31" t="n">
        <v>8102</v>
      </c>
      <c r="E120" s="31" t="n">
        <v>392</v>
      </c>
      <c r="F120" s="33" t="n">
        <v>374.0841836734694</v>
      </c>
      <c r="G120" s="33" t="n">
        <v>993.4099273669656</v>
      </c>
      <c r="H120" s="33" t="n">
        <v>3629.605918367347</v>
      </c>
      <c r="I120" s="33" t="n">
        <v>441.45</v>
      </c>
      <c r="J120" s="33" t="n">
        <v>0.125</v>
      </c>
      <c r="K120" s="33" t="n">
        <v>238.7777777777778</v>
      </c>
      <c r="L120" s="33" t="n">
        <v>583.9838383188488</v>
      </c>
      <c r="M120" s="33" t="n">
        <v>615418.436957245</v>
      </c>
      <c r="N120" s="33" t="n">
        <v>73377</v>
      </c>
      <c r="O120" s="34" t="n">
        <v>0.7839506172839507</v>
      </c>
      <c r="P120" s="34" t="n">
        <v>0.1748931947296737</v>
      </c>
      <c r="Q120" s="34" t="n">
        <v>0.1346846392172591</v>
      </c>
      <c r="R120" s="31" t="n">
        <v>720</v>
      </c>
      <c r="S120" s="31" t="n">
        <v>200</v>
      </c>
      <c r="T120" s="31" t="inlineStr">
        <is>
          <t>L</t>
        </is>
      </c>
      <c r="U120" s="31" t="inlineStr">
        <is>
          <t>Balanced</t>
        </is>
      </c>
      <c r="V120" s="31" t="inlineStr">
        <is>
          <t>NEW DEVELOPMENT RESULT</t>
        </is>
      </c>
      <c r="W120" s="31" t="n">
        <v>0.0013817550534635</v>
      </c>
    </row>
    <row r="121" ht="24" customHeight="1">
      <c r="A121" s="31" t="inlineStr">
        <is>
          <t>D007__DTT__8103</t>
        </is>
      </c>
      <c r="B121" s="31" t="inlineStr">
        <is>
          <t>D007</t>
        </is>
      </c>
      <c r="C121" s="31" t="inlineStr">
        <is>
          <t>DTT</t>
        </is>
      </c>
      <c r="D121" s="31" t="n">
        <v>8103</v>
      </c>
      <c r="E121" s="31" t="n">
        <v>361</v>
      </c>
      <c r="F121" s="33" t="n">
        <v>362.5263157894737</v>
      </c>
      <c r="G121" s="33" t="n">
        <v>964.1334523475002</v>
      </c>
      <c r="H121" s="33" t="n">
        <v>3634.414515235457</v>
      </c>
      <c r="I121" s="33" t="n">
        <v>412</v>
      </c>
      <c r="J121" s="33" t="n">
        <v>0.1412742382271468</v>
      </c>
      <c r="K121" s="33" t="n">
        <v>237.0275689223058</v>
      </c>
      <c r="L121" s="33" t="n">
        <v>579.2319598187086</v>
      </c>
      <c r="M121" s="33" t="n">
        <v>579165.7282651123</v>
      </c>
      <c r="N121" s="33" t="n">
        <v>67530</v>
      </c>
      <c r="O121" s="34" t="n">
        <v>0.7612176319430718</v>
      </c>
      <c r="P121" s="34" t="n">
        <v>0.1656254588257952</v>
      </c>
      <c r="Q121" s="34" t="n">
        <v>0.1436140226910689</v>
      </c>
      <c r="R121" s="31" t="n">
        <v>720</v>
      </c>
      <c r="S121" s="31" t="n">
        <v>200</v>
      </c>
      <c r="T121" s="31" t="inlineStr">
        <is>
          <t>L</t>
        </is>
      </c>
      <c r="U121" s="31" t="inlineStr">
        <is>
          <t>Balanced</t>
        </is>
      </c>
      <c r="V121" s="31" t="inlineStr">
        <is>
          <t>NEW DEVELOPMENT RESULT</t>
        </is>
      </c>
      <c r="W121" s="31" t="n">
        <v>0.0014161459957551</v>
      </c>
    </row>
    <row r="122" ht="24" customHeight="1">
      <c r="A122" s="31" t="inlineStr">
        <is>
          <t>D007__ECO__8101</t>
        </is>
      </c>
      <c r="B122" s="31" t="inlineStr">
        <is>
          <t>D007</t>
        </is>
      </c>
      <c r="C122" s="31" t="inlineStr">
        <is>
          <t>ECO</t>
        </is>
      </c>
      <c r="D122" s="31" t="n">
        <v>8101</v>
      </c>
      <c r="E122" s="31" t="n">
        <v>375</v>
      </c>
      <c r="F122" s="33" t="n">
        <v>336.7173333333333</v>
      </c>
      <c r="G122" s="33" t="n">
        <v>906.0946823370504</v>
      </c>
      <c r="H122" s="33" t="n">
        <v>3203.72</v>
      </c>
      <c r="I122" s="33" t="n">
        <v>356</v>
      </c>
      <c r="J122" s="33" t="n">
        <v>0.0986666666666666</v>
      </c>
      <c r="K122" s="33" t="n">
        <v>236.9867724867725</v>
      </c>
      <c r="L122" s="33" t="n">
        <v>578.6863631529501</v>
      </c>
      <c r="M122" s="33" t="n">
        <v>558528.951148209</v>
      </c>
      <c r="N122" s="33" t="n">
        <v>78535</v>
      </c>
      <c r="O122" s="34" t="n">
        <v>0</v>
      </c>
      <c r="P122" s="34" t="n">
        <v>0.0466653661994221</v>
      </c>
      <c r="Q122" s="34" t="n">
        <v>0.0150335875234159</v>
      </c>
      <c r="R122" s="31" t="n">
        <v>720</v>
      </c>
      <c r="S122" s="31" t="n">
        <v>200</v>
      </c>
      <c r="T122" s="31" t="inlineStr">
        <is>
          <t>L</t>
        </is>
      </c>
      <c r="U122" s="31" t="inlineStr">
        <is>
          <t>Balanced</t>
        </is>
      </c>
      <c r="V122" s="31" t="inlineStr">
        <is>
          <t>NEW DEVELOPMENT RESULT</t>
        </is>
      </c>
      <c r="W122" s="31" t="n">
        <v>0.00145154017704</v>
      </c>
    </row>
    <row r="123" ht="24" customHeight="1">
      <c r="A123" s="31" t="inlineStr">
        <is>
          <t>D007__ECO__8102</t>
        </is>
      </c>
      <c r="B123" s="31" t="inlineStr">
        <is>
          <t>D007</t>
        </is>
      </c>
      <c r="C123" s="31" t="inlineStr">
        <is>
          <t>ECO</t>
        </is>
      </c>
      <c r="D123" s="31" t="n">
        <v>8102</v>
      </c>
      <c r="E123" s="31" t="n">
        <v>392</v>
      </c>
      <c r="F123" s="33" t="n">
        <v>337.4872448979592</v>
      </c>
      <c r="G123" s="33" t="n">
        <v>910.7497573812284</v>
      </c>
      <c r="H123" s="33" t="n">
        <v>3203.720000000001</v>
      </c>
      <c r="I123" s="33" t="n">
        <v>357</v>
      </c>
      <c r="J123" s="33" t="n">
        <v>0.125</v>
      </c>
      <c r="K123" s="33" t="n">
        <v>238.7777777777778</v>
      </c>
      <c r="L123" s="33" t="n">
        <v>583.9838383188488</v>
      </c>
      <c r="M123" s="33" t="n">
        <v>583015.6503228361</v>
      </c>
      <c r="N123" s="33" t="n">
        <v>78516</v>
      </c>
      <c r="O123" s="34" t="n">
        <v>0</v>
      </c>
      <c r="P123" s="34" t="n">
        <v>0.0429209820352331</v>
      </c>
      <c r="Q123" s="34" t="n">
        <v>0.0041563172575406</v>
      </c>
      <c r="R123" s="31" t="n">
        <v>720</v>
      </c>
      <c r="S123" s="31" t="n">
        <v>200</v>
      </c>
      <c r="T123" s="31" t="inlineStr">
        <is>
          <t>L</t>
        </is>
      </c>
      <c r="U123" s="31" t="inlineStr">
        <is>
          <t>Balanced</t>
        </is>
      </c>
      <c r="V123" s="31" t="inlineStr">
        <is>
          <t>NEW DEVELOPMENT RESULT</t>
        </is>
      </c>
      <c r="W123" s="31" t="n">
        <v>0.0014535983643061</v>
      </c>
    </row>
    <row r="124" ht="24" customHeight="1">
      <c r="A124" s="31" t="inlineStr">
        <is>
          <t>D007__ECO__8103</t>
        </is>
      </c>
      <c r="B124" s="31" t="inlineStr">
        <is>
          <t>D007</t>
        </is>
      </c>
      <c r="C124" s="31" t="inlineStr">
        <is>
          <t>ECO</t>
        </is>
      </c>
      <c r="D124" s="31" t="n">
        <v>8103</v>
      </c>
      <c r="E124" s="31" t="n">
        <v>361</v>
      </c>
      <c r="F124" s="33" t="n">
        <v>336.7091412742382</v>
      </c>
      <c r="G124" s="33" t="n">
        <v>906.86264443067</v>
      </c>
      <c r="H124" s="33" t="n">
        <v>3203.72</v>
      </c>
      <c r="I124" s="33" t="n">
        <v>356</v>
      </c>
      <c r="J124" s="33" t="n">
        <v>0.1412742382271468</v>
      </c>
      <c r="K124" s="33" t="n">
        <v>237.0275689223058</v>
      </c>
      <c r="L124" s="33" t="n">
        <v>579.2319598187086</v>
      </c>
      <c r="M124" s="33" t="n">
        <v>558490.9666071367</v>
      </c>
      <c r="N124" s="33" t="n">
        <v>75179</v>
      </c>
      <c r="O124" s="34" t="n">
        <v>0</v>
      </c>
      <c r="P124" s="34" t="n">
        <v>0.0432906112738029</v>
      </c>
      <c r="Q124" s="34" t="n">
        <v>0.005316134053717</v>
      </c>
      <c r="R124" s="31" t="n">
        <v>720</v>
      </c>
      <c r="S124" s="31" t="n">
        <v>200</v>
      </c>
      <c r="T124" s="31" t="inlineStr">
        <is>
          <t>L</t>
        </is>
      </c>
      <c r="U124" s="31" t="inlineStr">
        <is>
          <t>Balanced</t>
        </is>
      </c>
      <c r="V124" s="31" t="inlineStr">
        <is>
          <t>NEW DEVELOPMENT RESULT</t>
        </is>
      </c>
      <c r="W124" s="31" t="n">
        <v>0.0014707610363548</v>
      </c>
    </row>
    <row r="125" ht="24" customHeight="1">
      <c r="A125" s="31" t="inlineStr">
        <is>
          <t>D007__TECO05__8101</t>
        </is>
      </c>
      <c r="B125" s="31" t="inlineStr">
        <is>
          <t>D007</t>
        </is>
      </c>
      <c r="C125" s="31" t="inlineStr">
        <is>
          <t>TECO05</t>
        </is>
      </c>
      <c r="D125" s="31" t="n">
        <v>8101</v>
      </c>
      <c r="E125" s="31" t="n">
        <v>375</v>
      </c>
      <c r="F125" s="33" t="n">
        <v>361.6933333333333</v>
      </c>
      <c r="G125" s="33" t="n">
        <v>972.7898663951304</v>
      </c>
      <c r="H125" s="33" t="n">
        <v>3594.512293333333</v>
      </c>
      <c r="I125" s="33" t="n">
        <v>409.3</v>
      </c>
      <c r="J125" s="33" t="n">
        <v>0.0986666666666666</v>
      </c>
      <c r="K125" s="33" t="n">
        <v>237.0132275132275</v>
      </c>
      <c r="L125" s="33" t="n">
        <v>578.7358063138372</v>
      </c>
      <c r="M125" s="33" t="n">
        <v>583558.3346848043</v>
      </c>
      <c r="N125" s="33" t="n">
        <v>72571</v>
      </c>
      <c r="O125" s="34" t="n">
        <v>0.6375537319265338</v>
      </c>
      <c r="P125" s="34" t="n">
        <v>0.16971925956525</v>
      </c>
      <c r="Q125" s="34" t="n">
        <v>0.1317161113219786</v>
      </c>
      <c r="R125" s="31" t="n">
        <v>720</v>
      </c>
      <c r="S125" s="31" t="n">
        <v>200</v>
      </c>
      <c r="T125" s="31" t="inlineStr">
        <is>
          <t>L</t>
        </is>
      </c>
      <c r="U125" s="31" t="inlineStr">
        <is>
          <t>Balanced</t>
        </is>
      </c>
      <c r="V125" s="31" t="inlineStr">
        <is>
          <t>NEW DEVELOPMENT RESULT</t>
        </is>
      </c>
      <c r="W125" s="31" t="n">
        <v>0.0013583861984465</v>
      </c>
    </row>
    <row r="126" ht="24" customHeight="1">
      <c r="A126" s="31" t="inlineStr">
        <is>
          <t>D007__TECO05__8102</t>
        </is>
      </c>
      <c r="B126" s="31" t="inlineStr">
        <is>
          <t>D007</t>
        </is>
      </c>
      <c r="C126" s="31" t="inlineStr">
        <is>
          <t>TECO05</t>
        </is>
      </c>
      <c r="D126" s="31" t="n">
        <v>8102</v>
      </c>
      <c r="E126" s="31" t="n">
        <v>392</v>
      </c>
      <c r="F126" s="33" t="n">
        <v>363.8341836734694</v>
      </c>
      <c r="G126" s="33" t="n">
        <v>979.0617599446832</v>
      </c>
      <c r="H126" s="33" t="n">
        <v>3585.058392857143</v>
      </c>
      <c r="I126" s="33" t="n">
        <v>425.45</v>
      </c>
      <c r="J126" s="33" t="n">
        <v>0.125</v>
      </c>
      <c r="K126" s="33" t="n">
        <v>238.7777777777778</v>
      </c>
      <c r="L126" s="33" t="n">
        <v>583.9838383188488</v>
      </c>
      <c r="M126" s="33" t="n">
        <v>609793.9553277104</v>
      </c>
      <c r="N126" s="33" t="n">
        <v>72946</v>
      </c>
      <c r="O126" s="34" t="n">
        <v>0.6761459307764266</v>
      </c>
      <c r="P126" s="34" t="n">
        <v>0.1545077128902119</v>
      </c>
      <c r="Q126" s="34" t="n">
        <v>0.1029207536784137</v>
      </c>
      <c r="R126" s="31" t="n">
        <v>720</v>
      </c>
      <c r="S126" s="31" t="n">
        <v>200</v>
      </c>
      <c r="T126" s="31" t="inlineStr">
        <is>
          <t>L</t>
        </is>
      </c>
      <c r="U126" s="31" t="inlineStr">
        <is>
          <t>Balanced</t>
        </is>
      </c>
      <c r="V126" s="31" t="inlineStr">
        <is>
          <t>NEW DEVELOPMENT RESULT</t>
        </is>
      </c>
      <c r="W126" s="31" t="n">
        <v>0.0013723150822311</v>
      </c>
    </row>
    <row r="127" ht="24" customHeight="1">
      <c r="A127" s="31" t="inlineStr">
        <is>
          <t>D007__TECO05__8103</t>
        </is>
      </c>
      <c r="B127" s="31" t="inlineStr">
        <is>
          <t>D007</t>
        </is>
      </c>
      <c r="C127" s="31" t="inlineStr">
        <is>
          <t>TECO05</t>
        </is>
      </c>
      <c r="D127" s="31" t="n">
        <v>8103</v>
      </c>
      <c r="E127" s="31" t="n">
        <v>361</v>
      </c>
      <c r="F127" s="33" t="n">
        <v>358.8254847645429</v>
      </c>
      <c r="G127" s="33" t="n">
        <v>965.4853035256388</v>
      </c>
      <c r="H127" s="33" t="n">
        <v>3588.692991689751</v>
      </c>
      <c r="I127" s="33" t="n">
        <v>398</v>
      </c>
      <c r="J127" s="33" t="n">
        <v>0.1412742382271468</v>
      </c>
      <c r="K127" s="33" t="n">
        <v>237.0426065162908</v>
      </c>
      <c r="L127" s="33" t="n">
        <v>579.2678937219974</v>
      </c>
      <c r="M127" s="33" t="n">
        <v>579668.0841678326</v>
      </c>
      <c r="N127" s="33" t="n">
        <v>68843</v>
      </c>
      <c r="O127" s="34" t="n">
        <v>0.693227899432279</v>
      </c>
      <c r="P127" s="34" t="n">
        <v>0.1488670358920407</v>
      </c>
      <c r="Q127" s="34" t="n">
        <v>0.1241598971275882</v>
      </c>
      <c r="R127" s="31" t="n">
        <v>720</v>
      </c>
      <c r="S127" s="31" t="n">
        <v>200</v>
      </c>
      <c r="T127" s="31" t="inlineStr">
        <is>
          <t>L</t>
        </is>
      </c>
      <c r="U127" s="31" t="inlineStr">
        <is>
          <t>Balanced</t>
        </is>
      </c>
      <c r="V127" s="31" t="inlineStr">
        <is>
          <t>NEW DEVELOPMENT RESULT</t>
        </is>
      </c>
      <c r="W127" s="31" t="n">
        <v>0.0013942841078094</v>
      </c>
    </row>
    <row r="128" ht="24" customHeight="1">
      <c r="A128" s="31" t="inlineStr">
        <is>
          <t>D007__TECO10__8101</t>
        </is>
      </c>
      <c r="B128" s="31" t="inlineStr">
        <is>
          <t>D007</t>
        </is>
      </c>
      <c r="C128" s="31" t="inlineStr">
        <is>
          <t>TECO10</t>
        </is>
      </c>
      <c r="D128" s="31" t="n">
        <v>8101</v>
      </c>
      <c r="E128" s="31" t="n">
        <v>375</v>
      </c>
      <c r="F128" s="33" t="n">
        <v>354.704</v>
      </c>
      <c r="G128" s="33" t="n">
        <v>961.1568436248546</v>
      </c>
      <c r="H128" s="33" t="n">
        <v>3491.487466666667</v>
      </c>
      <c r="I128" s="33" t="n">
        <v>418.3</v>
      </c>
      <c r="J128" s="33" t="n">
        <v>0.0986666666666666</v>
      </c>
      <c r="K128" s="33" t="n">
        <v>236.9867724867725</v>
      </c>
      <c r="L128" s="33" t="n">
        <v>578.6863631529501</v>
      </c>
      <c r="M128" s="33" t="n">
        <v>579177.2616311356</v>
      </c>
      <c r="N128" s="33" t="n">
        <v>75161</v>
      </c>
      <c r="O128" s="34" t="n">
        <v>0.4159567837107833</v>
      </c>
      <c r="P128" s="34" t="n">
        <v>0.1224925168631744</v>
      </c>
      <c r="Q128" s="34" t="n">
        <v>0.0758427234552375</v>
      </c>
      <c r="R128" s="31" t="n">
        <v>720</v>
      </c>
      <c r="S128" s="31" t="n">
        <v>200</v>
      </c>
      <c r="T128" s="31" t="inlineStr">
        <is>
          <t>L</t>
        </is>
      </c>
      <c r="U128" s="31" t="inlineStr">
        <is>
          <t>Balanced</t>
        </is>
      </c>
      <c r="V128" s="31" t="inlineStr">
        <is>
          <t>NEW DEVELOPMENT RESULT</t>
        </is>
      </c>
      <c r="W128" s="31" t="n">
        <v>0.0013580685368547</v>
      </c>
    </row>
    <row r="129" ht="24" customHeight="1">
      <c r="A129" s="31" t="inlineStr">
        <is>
          <t>D007__TECO10__8102</t>
        </is>
      </c>
      <c r="B129" s="31" t="inlineStr">
        <is>
          <t>D007</t>
        </is>
      </c>
      <c r="C129" s="31" t="inlineStr">
        <is>
          <t>TECO10</t>
        </is>
      </c>
      <c r="D129" s="31" t="n">
        <v>8102</v>
      </c>
      <c r="E129" s="31" t="n">
        <v>392</v>
      </c>
      <c r="F129" s="33" t="n">
        <v>355.5994897959184</v>
      </c>
      <c r="G129" s="33" t="n">
        <v>966.0293294610184</v>
      </c>
      <c r="H129" s="33" t="n">
        <v>3455.000102040816</v>
      </c>
      <c r="I129" s="33" t="n">
        <v>426.45</v>
      </c>
      <c r="J129" s="33" t="n">
        <v>0.125</v>
      </c>
      <c r="K129" s="33" t="n">
        <v>238.7777777777778</v>
      </c>
      <c r="L129" s="33" t="n">
        <v>583.9838383188488</v>
      </c>
      <c r="M129" s="33" t="n">
        <v>604685.2425781138</v>
      </c>
      <c r="N129" s="33" t="n">
        <v>76405</v>
      </c>
      <c r="O129" s="34" t="n">
        <v>0.388663967611336</v>
      </c>
      <c r="P129" s="34" t="n">
        <v>0.1234903550158237</v>
      </c>
      <c r="Q129" s="34" t="n">
        <v>0.0559051579464155</v>
      </c>
      <c r="R129" s="31" t="n">
        <v>720</v>
      </c>
      <c r="S129" s="31" t="n">
        <v>200</v>
      </c>
      <c r="T129" s="31" t="inlineStr">
        <is>
          <t>L</t>
        </is>
      </c>
      <c r="U129" s="31" t="inlineStr">
        <is>
          <t>Balanced</t>
        </is>
      </c>
      <c r="V129" s="31" t="inlineStr">
        <is>
          <t>NEW DEVELOPMENT RESULT</t>
        </is>
      </c>
      <c r="W129" s="31" t="n">
        <v>0.0013636331732248</v>
      </c>
    </row>
    <row r="130" ht="24" customHeight="1">
      <c r="A130" s="31" t="inlineStr">
        <is>
          <t>D007__TECO10__8103</t>
        </is>
      </c>
      <c r="B130" s="31" t="inlineStr">
        <is>
          <t>D007</t>
        </is>
      </c>
      <c r="C130" s="31" t="inlineStr">
        <is>
          <t>TECO10</t>
        </is>
      </c>
      <c r="D130" s="31" t="n">
        <v>8103</v>
      </c>
      <c r="E130" s="31" t="n">
        <v>361</v>
      </c>
      <c r="F130" s="33" t="n">
        <v>350.0720221606648</v>
      </c>
      <c r="G130" s="33" t="n">
        <v>950.970932639712</v>
      </c>
      <c r="H130" s="33" t="n">
        <v>3490.481772853186</v>
      </c>
      <c r="I130" s="33" t="n">
        <v>387</v>
      </c>
      <c r="J130" s="33" t="n">
        <v>0.1412742382271468</v>
      </c>
      <c r="K130" s="33" t="n">
        <v>237.0275689223058</v>
      </c>
      <c r="L130" s="33" t="n">
        <v>579.2319598187086</v>
      </c>
      <c r="M130" s="33" t="n">
        <v>574414.0586506007</v>
      </c>
      <c r="N130" s="33" t="n">
        <v>70767</v>
      </c>
      <c r="O130" s="34" t="n">
        <v>0.4096307492982077</v>
      </c>
      <c r="P130" s="34" t="n">
        <v>0.1077198498668714</v>
      </c>
      <c r="Q130" s="34" t="n">
        <v>0.0624878225876311</v>
      </c>
      <c r="R130" s="31" t="n">
        <v>720</v>
      </c>
      <c r="S130" s="31" t="n">
        <v>200</v>
      </c>
      <c r="T130" s="31" t="inlineStr">
        <is>
          <t>L</t>
        </is>
      </c>
      <c r="U130" s="31" t="inlineStr">
        <is>
          <t>Balanced</t>
        </is>
      </c>
      <c r="V130" s="31" t="inlineStr">
        <is>
          <t>NEW DEVELOPMENT RESULT</t>
        </is>
      </c>
      <c r="W130" s="31" t="n">
        <v>0.0013898255382661</v>
      </c>
    </row>
    <row r="131" ht="24" customHeight="1">
      <c r="A131" s="31" t="inlineStr">
        <is>
          <t>D007__TECO15__8101</t>
        </is>
      </c>
      <c r="B131" s="31" t="inlineStr">
        <is>
          <t>D007</t>
        </is>
      </c>
      <c r="C131" s="31" t="inlineStr">
        <is>
          <t>TECO15</t>
        </is>
      </c>
      <c r="D131" s="31" t="n">
        <v>8101</v>
      </c>
      <c r="E131" s="31" t="n">
        <v>375</v>
      </c>
      <c r="F131" s="33" t="n">
        <v>353.1546666666667</v>
      </c>
      <c r="G131" s="33" t="n">
        <v>955.4824376900108</v>
      </c>
      <c r="H131" s="33" t="n">
        <v>3444.6416</v>
      </c>
      <c r="I131" s="33" t="n">
        <v>418.3</v>
      </c>
      <c r="J131" s="33" t="n">
        <v>0.0986666666666666</v>
      </c>
      <c r="K131" s="33" t="n">
        <v>236.9867724867725</v>
      </c>
      <c r="L131" s="33" t="n">
        <v>578.6863631529501</v>
      </c>
      <c r="M131" s="33" t="n">
        <v>577049.3594055693</v>
      </c>
      <c r="N131" s="33" t="n">
        <v>76458</v>
      </c>
      <c r="O131" s="34" t="n">
        <v>0.3611997447351627</v>
      </c>
      <c r="P131" s="34" t="n">
        <v>0.1114214223004485</v>
      </c>
      <c r="Q131" s="34" t="n">
        <v>0.06261685207407131</v>
      </c>
      <c r="R131" s="31" t="n">
        <v>720</v>
      </c>
      <c r="S131" s="31" t="n">
        <v>200</v>
      </c>
      <c r="T131" s="31" t="inlineStr">
        <is>
          <t>L</t>
        </is>
      </c>
      <c r="U131" s="31" t="inlineStr">
        <is>
          <t>Balanced</t>
        </is>
      </c>
      <c r="V131" s="31" t="inlineStr">
        <is>
          <t>NEW DEVELOPMENT RESULT</t>
        </is>
      </c>
      <c r="W131" s="31" t="n">
        <v>0.0013731084974083</v>
      </c>
    </row>
    <row r="132" ht="24" customHeight="1">
      <c r="A132" s="31" t="inlineStr">
        <is>
          <t>D007__TECO15__8102</t>
        </is>
      </c>
      <c r="B132" s="31" t="inlineStr">
        <is>
          <t>D007</t>
        </is>
      </c>
      <c r="C132" s="31" t="inlineStr">
        <is>
          <t>TECO15</t>
        </is>
      </c>
      <c r="D132" s="31" t="n">
        <v>8102</v>
      </c>
      <c r="E132" s="31" t="n">
        <v>392</v>
      </c>
      <c r="F132" s="33" t="n">
        <v>342.4923469387755</v>
      </c>
      <c r="G132" s="33" t="n">
        <v>923.451331858312</v>
      </c>
      <c r="H132" s="33" t="n">
        <v>3401.313622448979</v>
      </c>
      <c r="I132" s="33" t="n">
        <v>381</v>
      </c>
      <c r="J132" s="33" t="n">
        <v>0.125</v>
      </c>
      <c r="K132" s="33" t="n">
        <v>238.7777777777778</v>
      </c>
      <c r="L132" s="33" t="n">
        <v>583.9538391352721</v>
      </c>
      <c r="M132" s="33" t="n">
        <v>587983.0578338086</v>
      </c>
      <c r="N132" s="33" t="n">
        <v>74100</v>
      </c>
      <c r="O132" s="34" t="n">
        <v>0.1529315293152931</v>
      </c>
      <c r="P132" s="34" t="n">
        <v>0.0782120135158684</v>
      </c>
      <c r="Q132" s="34" t="n">
        <v>0.0330450042191996</v>
      </c>
      <c r="R132" s="31" t="n">
        <v>720</v>
      </c>
      <c r="S132" s="31" t="n">
        <v>200</v>
      </c>
      <c r="T132" s="31" t="inlineStr">
        <is>
          <t>L</t>
        </is>
      </c>
      <c r="U132" s="31" t="inlineStr">
        <is>
          <t>Balanced</t>
        </is>
      </c>
      <c r="V132" s="31" t="inlineStr">
        <is>
          <t>NEW DEVELOPMENT RESULT</t>
        </is>
      </c>
      <c r="W132" s="31" t="n">
        <v>0.0014234395500316</v>
      </c>
    </row>
    <row r="133" ht="24" customHeight="1">
      <c r="A133" s="31" t="inlineStr">
        <is>
          <t>D007__TECO15__8103</t>
        </is>
      </c>
      <c r="B133" s="31" t="inlineStr">
        <is>
          <t>D007</t>
        </is>
      </c>
      <c r="C133" s="31" t="inlineStr">
        <is>
          <t>TECO15</t>
        </is>
      </c>
      <c r="D133" s="31" t="n">
        <v>8103</v>
      </c>
      <c r="E133" s="31" t="n">
        <v>361</v>
      </c>
      <c r="F133" s="33" t="n">
        <v>344.2770083102493</v>
      </c>
      <c r="G133" s="33" t="n">
        <v>931.5886270352972</v>
      </c>
      <c r="H133" s="33" t="n">
        <v>3424.291274238227</v>
      </c>
      <c r="I133" s="33" t="n">
        <v>380</v>
      </c>
      <c r="J133" s="33" t="n">
        <v>0.1412742382271468</v>
      </c>
      <c r="K133" s="33" t="n">
        <v>237.0275689223058</v>
      </c>
      <c r="L133" s="33" t="n">
        <v>579.2319598187086</v>
      </c>
      <c r="M133" s="33" t="n">
        <v>567417.0463274071</v>
      </c>
      <c r="N133" s="33" t="n">
        <v>71207</v>
      </c>
      <c r="O133" s="34" t="n">
        <v>0.3634743875278396</v>
      </c>
      <c r="P133" s="34" t="n">
        <v>0.1008758235692762</v>
      </c>
      <c r="Q133" s="34" t="n">
        <v>0.0640291005257613</v>
      </c>
      <c r="R133" s="31" t="n">
        <v>720</v>
      </c>
      <c r="S133" s="31" t="n">
        <v>200</v>
      </c>
      <c r="T133" s="31" t="inlineStr">
        <is>
          <t>L</t>
        </is>
      </c>
      <c r="U133" s="31" t="inlineStr">
        <is>
          <t>Balanced</t>
        </is>
      </c>
      <c r="V133" s="31" t="inlineStr">
        <is>
          <t>NEW DEVELOPMENT RESULT</t>
        </is>
      </c>
      <c r="W133" s="31" t="n">
        <v>0.0014127815937682</v>
      </c>
    </row>
    <row r="134" ht="24" customHeight="1">
      <c r="A134" s="31" t="inlineStr">
        <is>
          <t>D008__SP__8101</t>
        </is>
      </c>
      <c r="B134" s="31" t="inlineStr">
        <is>
          <t>D008</t>
        </is>
      </c>
      <c r="C134" s="31" t="inlineStr">
        <is>
          <t>SP</t>
        </is>
      </c>
      <c r="D134" s="31" t="n">
        <v>8101</v>
      </c>
      <c r="E134" s="31" t="n">
        <v>375</v>
      </c>
      <c r="F134" s="33" t="n">
        <v>274.2746666666667</v>
      </c>
      <c r="G134" s="33" t="n">
        <v>709.7937179168531</v>
      </c>
      <c r="H134" s="33" t="n">
        <v>3203.72</v>
      </c>
      <c r="I134" s="33" t="n">
        <v>299</v>
      </c>
      <c r="J134" s="33" t="n">
        <v>0.0986666666666666</v>
      </c>
      <c r="K134" s="33" t="n">
        <v>246.9867724867725</v>
      </c>
      <c r="L134" s="33" t="n">
        <v>607.6499770611385</v>
      </c>
      <c r="M134" s="33" t="n">
        <v>495864.3355479303</v>
      </c>
      <c r="N134" s="33" t="n">
        <v>54441</v>
      </c>
      <c r="O134" s="34" t="n">
        <v>0</v>
      </c>
      <c r="P134" s="34" t="n">
        <v>0.0645459001489055</v>
      </c>
      <c r="Q134" s="34" t="n">
        <v>0.0114954221864662</v>
      </c>
      <c r="R134" s="31" t="n">
        <v>720</v>
      </c>
      <c r="S134" s="31" t="n">
        <v>200</v>
      </c>
      <c r="T134" s="31" t="inlineStr">
        <is>
          <t>L</t>
        </is>
      </c>
      <c r="U134" s="31" t="inlineStr">
        <is>
          <t>Arterial</t>
        </is>
      </c>
      <c r="V134" s="31" t="inlineStr">
        <is>
          <t>NEW DEVELOPMENT RESULT</t>
        </is>
      </c>
      <c r="W134" s="31" t="n">
        <v>0.0016761287980159</v>
      </c>
    </row>
    <row r="135" ht="24" customHeight="1">
      <c r="A135" s="31" t="inlineStr">
        <is>
          <t>D008__SP__8102</t>
        </is>
      </c>
      <c r="B135" s="31" t="inlineStr">
        <is>
          <t>D008</t>
        </is>
      </c>
      <c r="C135" s="31" t="inlineStr">
        <is>
          <t>SP</t>
        </is>
      </c>
      <c r="D135" s="31" t="n">
        <v>8102</v>
      </c>
      <c r="E135" s="31" t="n">
        <v>392</v>
      </c>
      <c r="F135" s="33" t="n">
        <v>276.8673469387755</v>
      </c>
      <c r="G135" s="33" t="n">
        <v>720.2960581426837</v>
      </c>
      <c r="H135" s="33" t="n">
        <v>3203.720000000001</v>
      </c>
      <c r="I135" s="33" t="n">
        <v>301.45</v>
      </c>
      <c r="J135" s="33" t="n">
        <v>0.125</v>
      </c>
      <c r="K135" s="33" t="n">
        <v>249.0180878552972</v>
      </c>
      <c r="L135" s="33" t="n">
        <v>613.1871982528231</v>
      </c>
      <c r="M135" s="33" t="n">
        <v>519659.5005157745</v>
      </c>
      <c r="N135" s="33" t="n">
        <v>55379</v>
      </c>
      <c r="O135" s="34" t="n">
        <v>0</v>
      </c>
      <c r="P135" s="34" t="n">
        <v>0.067413137222541</v>
      </c>
      <c r="Q135" s="34" t="n">
        <v>-0.0015222509752427</v>
      </c>
      <c r="R135" s="31" t="n">
        <v>720</v>
      </c>
      <c r="S135" s="31" t="n">
        <v>200</v>
      </c>
      <c r="T135" s="31" t="inlineStr">
        <is>
          <t>L</t>
        </is>
      </c>
      <c r="U135" s="31" t="inlineStr">
        <is>
          <t>Arterial</t>
        </is>
      </c>
      <c r="V135" s="31" t="inlineStr">
        <is>
          <t>NEW DEVELOPMENT RESULT</t>
        </is>
      </c>
      <c r="W135" s="31" t="n">
        <v>0.0016815670961003</v>
      </c>
    </row>
    <row r="136" ht="24" customHeight="1">
      <c r="A136" s="31" t="inlineStr">
        <is>
          <t>D008__SP__8103</t>
        </is>
      </c>
      <c r="B136" s="31" t="inlineStr">
        <is>
          <t>D008</t>
        </is>
      </c>
      <c r="C136" s="31" t="inlineStr">
        <is>
          <t>SP</t>
        </is>
      </c>
      <c r="D136" s="31" t="n">
        <v>8103</v>
      </c>
      <c r="E136" s="31" t="n">
        <v>361</v>
      </c>
      <c r="F136" s="33" t="n">
        <v>273.6426592797784</v>
      </c>
      <c r="G136" s="33" t="n">
        <v>708.4537871369897</v>
      </c>
      <c r="H136" s="33" t="n">
        <v>3203.72</v>
      </c>
      <c r="I136" s="33" t="n">
        <v>298</v>
      </c>
      <c r="J136" s="33" t="n">
        <v>0.1412742382271468</v>
      </c>
      <c r="K136" s="33" t="n">
        <v>247.0275689223058</v>
      </c>
      <c r="L136" s="33" t="n">
        <v>607.6764235974201</v>
      </c>
      <c r="M136" s="33" t="n">
        <v>498214.7101718239</v>
      </c>
      <c r="N136" s="33" t="n">
        <v>53006</v>
      </c>
      <c r="O136" s="34" t="n">
        <v>0</v>
      </c>
      <c r="P136" s="34" t="n">
        <v>0.0718757320903836</v>
      </c>
      <c r="Q136" s="34" t="n">
        <v>-0.0005152495181328</v>
      </c>
      <c r="R136" s="31" t="n">
        <v>720</v>
      </c>
      <c r="S136" s="31" t="n">
        <v>200</v>
      </c>
      <c r="T136" s="31" t="inlineStr">
        <is>
          <t>L</t>
        </is>
      </c>
      <c r="U136" s="31" t="inlineStr">
        <is>
          <t>Arterial</t>
        </is>
      </c>
      <c r="V136" s="31" t="inlineStr">
        <is>
          <t>NEW DEVELOPMENT RESULT</t>
        </is>
      </c>
      <c r="W136" s="31" t="n">
        <v>0.0016944688611323</v>
      </c>
    </row>
    <row r="137" ht="24" customHeight="1">
      <c r="A137" s="31" t="inlineStr">
        <is>
          <t>D008__DTT__8101</t>
        </is>
      </c>
      <c r="B137" s="31" t="inlineStr">
        <is>
          <t>D008</t>
        </is>
      </c>
      <c r="C137" s="31" t="inlineStr">
        <is>
          <t>DTT</t>
        </is>
      </c>
      <c r="D137" s="31" t="n">
        <v>8101</v>
      </c>
      <c r="E137" s="31" t="n">
        <v>375</v>
      </c>
      <c r="F137" s="33" t="n">
        <v>275.504</v>
      </c>
      <c r="G137" s="33" t="n">
        <v>713.2450406211472</v>
      </c>
      <c r="H137" s="33" t="n">
        <v>3222.123733333333</v>
      </c>
      <c r="I137" s="33" t="n">
        <v>304</v>
      </c>
      <c r="J137" s="33" t="n">
        <v>0.0986666666666666</v>
      </c>
      <c r="K137" s="33" t="n">
        <v>246.9867724867725</v>
      </c>
      <c r="L137" s="33" t="n">
        <v>607.6499770611385</v>
      </c>
      <c r="M137" s="33" t="n">
        <v>497158.5815620406</v>
      </c>
      <c r="N137" s="33" t="n">
        <v>54372</v>
      </c>
      <c r="O137" s="34" t="n">
        <v>0.0343007915567282</v>
      </c>
      <c r="P137" s="34" t="n">
        <v>0.07544207743259899</v>
      </c>
      <c r="Q137" s="34" t="n">
        <v>0.0214519670405914</v>
      </c>
      <c r="R137" s="31" t="n">
        <v>720</v>
      </c>
      <c r="S137" s="31" t="n">
        <v>200</v>
      </c>
      <c r="T137" s="31" t="inlineStr">
        <is>
          <t>L</t>
        </is>
      </c>
      <c r="U137" s="31" t="inlineStr">
        <is>
          <t>Arterial</t>
        </is>
      </c>
      <c r="V137" s="31" t="inlineStr">
        <is>
          <t>NEW DEVELOPMENT RESULT</t>
        </is>
      </c>
      <c r="W137" s="31" t="n">
        <v>0.0016676785800951</v>
      </c>
    </row>
    <row r="138" ht="24" customHeight="1">
      <c r="A138" s="31" t="inlineStr">
        <is>
          <t>D008__DTT__8102</t>
        </is>
      </c>
      <c r="B138" s="31" t="inlineStr">
        <is>
          <t>D008</t>
        </is>
      </c>
      <c r="C138" s="31" t="inlineStr">
        <is>
          <t>DTT</t>
        </is>
      </c>
      <c r="D138" s="31" t="n">
        <v>8102</v>
      </c>
      <c r="E138" s="31" t="n">
        <v>392</v>
      </c>
      <c r="F138" s="33" t="n">
        <v>281.3852040816327</v>
      </c>
      <c r="G138" s="33" t="n">
        <v>733.567706600765</v>
      </c>
      <c r="H138" s="33" t="n">
        <v>3261.33836734694</v>
      </c>
      <c r="I138" s="33" t="n">
        <v>342.9</v>
      </c>
      <c r="J138" s="33" t="n">
        <v>0.125</v>
      </c>
      <c r="K138" s="33" t="n">
        <v>249.0180878552972</v>
      </c>
      <c r="L138" s="33" t="n">
        <v>613.1871982528231</v>
      </c>
      <c r="M138" s="33" t="n">
        <v>524861.9867113424</v>
      </c>
      <c r="N138" s="33" t="n">
        <v>55402</v>
      </c>
      <c r="O138" s="34" t="n">
        <v>0.0933572710951526</v>
      </c>
      <c r="P138" s="34" t="n">
        <v>0.09909411691292649</v>
      </c>
      <c r="Q138" s="34" t="n">
        <v>0.0205576153753082</v>
      </c>
      <c r="R138" s="31" t="n">
        <v>720</v>
      </c>
      <c r="S138" s="31" t="n">
        <v>200</v>
      </c>
      <c r="T138" s="31" t="inlineStr">
        <is>
          <t>L</t>
        </is>
      </c>
      <c r="U138" s="31" t="inlineStr">
        <is>
          <t>Arterial</t>
        </is>
      </c>
      <c r="V138" s="31" t="inlineStr">
        <is>
          <t>NEW DEVELOPMENT RESULT</t>
        </is>
      </c>
      <c r="W138" s="31" t="n">
        <v>0.0016508978017588</v>
      </c>
    </row>
    <row r="139" ht="24" customHeight="1">
      <c r="A139" s="31" t="inlineStr">
        <is>
          <t>D008__DTT__8103</t>
        </is>
      </c>
      <c r="B139" s="31" t="inlineStr">
        <is>
          <t>D008</t>
        </is>
      </c>
      <c r="C139" s="31" t="inlineStr">
        <is>
          <t>DTT</t>
        </is>
      </c>
      <c r="D139" s="31" t="n">
        <v>8103</v>
      </c>
      <c r="E139" s="31" t="n">
        <v>361</v>
      </c>
      <c r="F139" s="33" t="n">
        <v>284.1745152354571</v>
      </c>
      <c r="G139" s="33" t="n">
        <v>737.0915076303316</v>
      </c>
      <c r="H139" s="33" t="n">
        <v>3268.906121883657</v>
      </c>
      <c r="I139" s="33" t="n">
        <v>374</v>
      </c>
      <c r="J139" s="33" t="n">
        <v>0.1412742382271468</v>
      </c>
      <c r="K139" s="33" t="n">
        <v>247.0275689223058</v>
      </c>
      <c r="L139" s="33" t="n">
        <v>607.6764235974201</v>
      </c>
      <c r="M139" s="33" t="n">
        <v>508552.9272699204</v>
      </c>
      <c r="N139" s="33" t="n">
        <v>54278</v>
      </c>
      <c r="O139" s="34" t="n">
        <v>0.1322533849129593</v>
      </c>
      <c r="P139" s="34" t="n">
        <v>0.1026671470341774</v>
      </c>
      <c r="Q139" s="34" t="n">
        <v>0.0328176583755343</v>
      </c>
      <c r="R139" s="31" t="n">
        <v>720</v>
      </c>
      <c r="S139" s="31" t="n">
        <v>200</v>
      </c>
      <c r="T139" s="31" t="inlineStr">
        <is>
          <t>L</t>
        </is>
      </c>
      <c r="U139" s="31" t="inlineStr">
        <is>
          <t>Arterial</t>
        </is>
      </c>
      <c r="V139" s="31" t="inlineStr">
        <is>
          <t>NEW DEVELOPMENT RESULT</t>
        </is>
      </c>
      <c r="W139" s="31" t="n">
        <v>0.001659035756957</v>
      </c>
    </row>
    <row r="140" ht="24" customHeight="1">
      <c r="A140" s="31" t="inlineStr">
        <is>
          <t>D008__ECO__8101</t>
        </is>
      </c>
      <c r="B140" s="31" t="inlineStr">
        <is>
          <t>D008</t>
        </is>
      </c>
      <c r="C140" s="31" t="inlineStr">
        <is>
          <t>ECO</t>
        </is>
      </c>
      <c r="D140" s="31" t="n">
        <v>8101</v>
      </c>
      <c r="E140" s="31" t="n">
        <v>375</v>
      </c>
      <c r="F140" s="33" t="n">
        <v>274.2746666666667</v>
      </c>
      <c r="G140" s="33" t="n">
        <v>709.7937179168531</v>
      </c>
      <c r="H140" s="33" t="n">
        <v>3203.72</v>
      </c>
      <c r="I140" s="33" t="n">
        <v>299</v>
      </c>
      <c r="J140" s="33" t="n">
        <v>0.0986666666666666</v>
      </c>
      <c r="K140" s="33" t="n">
        <v>246.9867724867725</v>
      </c>
      <c r="L140" s="33" t="n">
        <v>607.6499770611385</v>
      </c>
      <c r="M140" s="33" t="n">
        <v>495864.3355479303</v>
      </c>
      <c r="N140" s="33" t="n">
        <v>54441</v>
      </c>
      <c r="O140" s="34" t="n">
        <v>0</v>
      </c>
      <c r="P140" s="34" t="n">
        <v>0.0645459001489055</v>
      </c>
      <c r="Q140" s="34" t="n">
        <v>0.0114954221864662</v>
      </c>
      <c r="R140" s="31" t="n">
        <v>720</v>
      </c>
      <c r="S140" s="31" t="n">
        <v>200</v>
      </c>
      <c r="T140" s="31" t="inlineStr">
        <is>
          <t>L</t>
        </is>
      </c>
      <c r="U140" s="31" t="inlineStr">
        <is>
          <t>Arterial</t>
        </is>
      </c>
      <c r="V140" s="31" t="inlineStr">
        <is>
          <t>NEW DEVELOPMENT RESULT</t>
        </is>
      </c>
      <c r="W140" s="31" t="n">
        <v>0.0016761287980159</v>
      </c>
    </row>
    <row r="141" ht="24" customHeight="1">
      <c r="A141" s="31" t="inlineStr">
        <is>
          <t>D008__ECO__8102</t>
        </is>
      </c>
      <c r="B141" s="31" t="inlineStr">
        <is>
          <t>D008</t>
        </is>
      </c>
      <c r="C141" s="31" t="inlineStr">
        <is>
          <t>ECO</t>
        </is>
      </c>
      <c r="D141" s="31" t="n">
        <v>8102</v>
      </c>
      <c r="E141" s="31" t="n">
        <v>392</v>
      </c>
      <c r="F141" s="33" t="n">
        <v>276.8673469387755</v>
      </c>
      <c r="G141" s="33" t="n">
        <v>720.2960581426837</v>
      </c>
      <c r="H141" s="33" t="n">
        <v>3203.720000000001</v>
      </c>
      <c r="I141" s="33" t="n">
        <v>301.45</v>
      </c>
      <c r="J141" s="33" t="n">
        <v>0.125</v>
      </c>
      <c r="K141" s="33" t="n">
        <v>249.0180878552972</v>
      </c>
      <c r="L141" s="33" t="n">
        <v>613.1871982528231</v>
      </c>
      <c r="M141" s="33" t="n">
        <v>519659.5005157745</v>
      </c>
      <c r="N141" s="33" t="n">
        <v>55379</v>
      </c>
      <c r="O141" s="34" t="n">
        <v>0</v>
      </c>
      <c r="P141" s="34" t="n">
        <v>0.067413137222541</v>
      </c>
      <c r="Q141" s="34" t="n">
        <v>-0.0015222509752427</v>
      </c>
      <c r="R141" s="31" t="n">
        <v>720</v>
      </c>
      <c r="S141" s="31" t="n">
        <v>200</v>
      </c>
      <c r="T141" s="31" t="inlineStr">
        <is>
          <t>L</t>
        </is>
      </c>
      <c r="U141" s="31" t="inlineStr">
        <is>
          <t>Arterial</t>
        </is>
      </c>
      <c r="V141" s="31" t="inlineStr">
        <is>
          <t>NEW DEVELOPMENT RESULT</t>
        </is>
      </c>
      <c r="W141" s="31" t="n">
        <v>0.0016815670961003</v>
      </c>
    </row>
    <row r="142" ht="24" customHeight="1">
      <c r="A142" s="31" t="inlineStr">
        <is>
          <t>D008__ECO__8103</t>
        </is>
      </c>
      <c r="B142" s="31" t="inlineStr">
        <is>
          <t>D008</t>
        </is>
      </c>
      <c r="C142" s="31" t="inlineStr">
        <is>
          <t>ECO</t>
        </is>
      </c>
      <c r="D142" s="31" t="n">
        <v>8103</v>
      </c>
      <c r="E142" s="31" t="n">
        <v>361</v>
      </c>
      <c r="F142" s="33" t="n">
        <v>273.6426592797784</v>
      </c>
      <c r="G142" s="33" t="n">
        <v>708.4537871369897</v>
      </c>
      <c r="H142" s="33" t="n">
        <v>3203.72</v>
      </c>
      <c r="I142" s="33" t="n">
        <v>298</v>
      </c>
      <c r="J142" s="33" t="n">
        <v>0.1412742382271468</v>
      </c>
      <c r="K142" s="33" t="n">
        <v>247.0275689223058</v>
      </c>
      <c r="L142" s="33" t="n">
        <v>607.6764235974201</v>
      </c>
      <c r="M142" s="33" t="n">
        <v>498214.7101718239</v>
      </c>
      <c r="N142" s="33" t="n">
        <v>53006</v>
      </c>
      <c r="O142" s="34" t="n">
        <v>0</v>
      </c>
      <c r="P142" s="34" t="n">
        <v>0.0718757320903836</v>
      </c>
      <c r="Q142" s="34" t="n">
        <v>-0.0005152495181328</v>
      </c>
      <c r="R142" s="31" t="n">
        <v>720</v>
      </c>
      <c r="S142" s="31" t="n">
        <v>200</v>
      </c>
      <c r="T142" s="31" t="inlineStr">
        <is>
          <t>L</t>
        </is>
      </c>
      <c r="U142" s="31" t="inlineStr">
        <is>
          <t>Arterial</t>
        </is>
      </c>
      <c r="V142" s="31" t="inlineStr">
        <is>
          <t>NEW DEVELOPMENT RESULT</t>
        </is>
      </c>
      <c r="W142" s="31" t="n">
        <v>0.0016944688611323</v>
      </c>
    </row>
    <row r="143" ht="24" customHeight="1">
      <c r="A143" s="31" t="inlineStr">
        <is>
          <t>D008__TECO05__8101</t>
        </is>
      </c>
      <c r="B143" s="31" t="inlineStr">
        <is>
          <t>D008</t>
        </is>
      </c>
      <c r="C143" s="31" t="inlineStr">
        <is>
          <t>TECO05</t>
        </is>
      </c>
      <c r="D143" s="31" t="n">
        <v>8101</v>
      </c>
      <c r="E143" s="31" t="n">
        <v>375</v>
      </c>
      <c r="F143" s="33" t="n">
        <v>274.2746666666667</v>
      </c>
      <c r="G143" s="33" t="n">
        <v>709.7937179168531</v>
      </c>
      <c r="H143" s="33" t="n">
        <v>3203.72</v>
      </c>
      <c r="I143" s="33" t="n">
        <v>299</v>
      </c>
      <c r="J143" s="33" t="n">
        <v>0.0986666666666666</v>
      </c>
      <c r="K143" s="33" t="n">
        <v>246.9867724867725</v>
      </c>
      <c r="L143" s="33" t="n">
        <v>607.6499770611385</v>
      </c>
      <c r="M143" s="33" t="n">
        <v>495864.3355479303</v>
      </c>
      <c r="N143" s="33" t="n">
        <v>54441</v>
      </c>
      <c r="O143" s="34" t="n">
        <v>0</v>
      </c>
      <c r="P143" s="34" t="n">
        <v>0.0645459001489055</v>
      </c>
      <c r="Q143" s="34" t="n">
        <v>0.0114954221864662</v>
      </c>
      <c r="R143" s="31" t="n">
        <v>720</v>
      </c>
      <c r="S143" s="31" t="n">
        <v>200</v>
      </c>
      <c r="T143" s="31" t="inlineStr">
        <is>
          <t>L</t>
        </is>
      </c>
      <c r="U143" s="31" t="inlineStr">
        <is>
          <t>Arterial</t>
        </is>
      </c>
      <c r="V143" s="31" t="inlineStr">
        <is>
          <t>NEW DEVELOPMENT RESULT</t>
        </is>
      </c>
      <c r="W143" s="31" t="n">
        <v>0.0016761287980159</v>
      </c>
    </row>
    <row r="144" ht="24" customHeight="1">
      <c r="A144" s="31" t="inlineStr">
        <is>
          <t>D008__TECO05__8102</t>
        </is>
      </c>
      <c r="B144" s="31" t="inlineStr">
        <is>
          <t>D008</t>
        </is>
      </c>
      <c r="C144" s="31" t="inlineStr">
        <is>
          <t>TECO05</t>
        </is>
      </c>
      <c r="D144" s="31" t="n">
        <v>8102</v>
      </c>
      <c r="E144" s="31" t="n">
        <v>392</v>
      </c>
      <c r="F144" s="33" t="n">
        <v>276.8673469387755</v>
      </c>
      <c r="G144" s="33" t="n">
        <v>720.2960581426837</v>
      </c>
      <c r="H144" s="33" t="n">
        <v>3203.720000000001</v>
      </c>
      <c r="I144" s="33" t="n">
        <v>301.45</v>
      </c>
      <c r="J144" s="33" t="n">
        <v>0.125</v>
      </c>
      <c r="K144" s="33" t="n">
        <v>249.0180878552972</v>
      </c>
      <c r="L144" s="33" t="n">
        <v>613.1871982528231</v>
      </c>
      <c r="M144" s="33" t="n">
        <v>519659.5005157745</v>
      </c>
      <c r="N144" s="33" t="n">
        <v>55379</v>
      </c>
      <c r="O144" s="34" t="n">
        <v>0</v>
      </c>
      <c r="P144" s="34" t="n">
        <v>0.067413137222541</v>
      </c>
      <c r="Q144" s="34" t="n">
        <v>-0.0015222509752427</v>
      </c>
      <c r="R144" s="31" t="n">
        <v>720</v>
      </c>
      <c r="S144" s="31" t="n">
        <v>200</v>
      </c>
      <c r="T144" s="31" t="inlineStr">
        <is>
          <t>L</t>
        </is>
      </c>
      <c r="U144" s="31" t="inlineStr">
        <is>
          <t>Arterial</t>
        </is>
      </c>
      <c r="V144" s="31" t="inlineStr">
        <is>
          <t>NEW DEVELOPMENT RESULT</t>
        </is>
      </c>
      <c r="W144" s="31" t="n">
        <v>0.0016815670961003</v>
      </c>
    </row>
    <row r="145" ht="24" customHeight="1">
      <c r="A145" s="31" t="inlineStr">
        <is>
          <t>D008__TECO05__8103</t>
        </is>
      </c>
      <c r="B145" s="31" t="inlineStr">
        <is>
          <t>D008</t>
        </is>
      </c>
      <c r="C145" s="31" t="inlineStr">
        <is>
          <t>TECO05</t>
        </is>
      </c>
      <c r="D145" s="31" t="n">
        <v>8103</v>
      </c>
      <c r="E145" s="31" t="n">
        <v>361</v>
      </c>
      <c r="F145" s="33" t="n">
        <v>273.6426592797784</v>
      </c>
      <c r="G145" s="33" t="n">
        <v>708.4537871369897</v>
      </c>
      <c r="H145" s="33" t="n">
        <v>3203.72</v>
      </c>
      <c r="I145" s="33" t="n">
        <v>298</v>
      </c>
      <c r="J145" s="33" t="n">
        <v>0.1412742382271468</v>
      </c>
      <c r="K145" s="33" t="n">
        <v>247.0275689223058</v>
      </c>
      <c r="L145" s="33" t="n">
        <v>607.6764235974201</v>
      </c>
      <c r="M145" s="33" t="n">
        <v>498214.7101718239</v>
      </c>
      <c r="N145" s="33" t="n">
        <v>53006</v>
      </c>
      <c r="O145" s="34" t="n">
        <v>0</v>
      </c>
      <c r="P145" s="34" t="n">
        <v>0.0718757320903836</v>
      </c>
      <c r="Q145" s="34" t="n">
        <v>-0.0005152495181328</v>
      </c>
      <c r="R145" s="31" t="n">
        <v>720</v>
      </c>
      <c r="S145" s="31" t="n">
        <v>200</v>
      </c>
      <c r="T145" s="31" t="inlineStr">
        <is>
          <t>L</t>
        </is>
      </c>
      <c r="U145" s="31" t="inlineStr">
        <is>
          <t>Arterial</t>
        </is>
      </c>
      <c r="V145" s="31" t="inlineStr">
        <is>
          <t>NEW DEVELOPMENT RESULT</t>
        </is>
      </c>
      <c r="W145" s="31" t="n">
        <v>0.0016944688611323</v>
      </c>
    </row>
    <row r="146" ht="24" customHeight="1">
      <c r="A146" s="31" t="inlineStr">
        <is>
          <t>D008__TECO10__8101</t>
        </is>
      </c>
      <c r="B146" s="31" t="inlineStr">
        <is>
          <t>D008</t>
        </is>
      </c>
      <c r="C146" s="31" t="inlineStr">
        <is>
          <t>TECO10</t>
        </is>
      </c>
      <c r="D146" s="31" t="n">
        <v>8101</v>
      </c>
      <c r="E146" s="31" t="n">
        <v>375</v>
      </c>
      <c r="F146" s="33" t="n">
        <v>274.2746666666667</v>
      </c>
      <c r="G146" s="33" t="n">
        <v>709.7937179168531</v>
      </c>
      <c r="H146" s="33" t="n">
        <v>3203.72</v>
      </c>
      <c r="I146" s="33" t="n">
        <v>299</v>
      </c>
      <c r="J146" s="33" t="n">
        <v>0.0986666666666666</v>
      </c>
      <c r="K146" s="33" t="n">
        <v>246.9867724867725</v>
      </c>
      <c r="L146" s="33" t="n">
        <v>607.6499770611385</v>
      </c>
      <c r="M146" s="33" t="n">
        <v>495864.3355479303</v>
      </c>
      <c r="N146" s="33" t="n">
        <v>54441</v>
      </c>
      <c r="O146" s="34" t="n">
        <v>0</v>
      </c>
      <c r="P146" s="34" t="n">
        <v>0.0645459001489055</v>
      </c>
      <c r="Q146" s="34" t="n">
        <v>0.0114954221864662</v>
      </c>
      <c r="R146" s="31" t="n">
        <v>720</v>
      </c>
      <c r="S146" s="31" t="n">
        <v>200</v>
      </c>
      <c r="T146" s="31" t="inlineStr">
        <is>
          <t>L</t>
        </is>
      </c>
      <c r="U146" s="31" t="inlineStr">
        <is>
          <t>Arterial</t>
        </is>
      </c>
      <c r="V146" s="31" t="inlineStr">
        <is>
          <t>NEW DEVELOPMENT RESULT</t>
        </is>
      </c>
      <c r="W146" s="31" t="n">
        <v>0.0016761287980159</v>
      </c>
    </row>
    <row r="147" ht="24" customHeight="1">
      <c r="A147" s="31" t="inlineStr">
        <is>
          <t>D008__TECO10__8102</t>
        </is>
      </c>
      <c r="B147" s="31" t="inlineStr">
        <is>
          <t>D008</t>
        </is>
      </c>
      <c r="C147" s="31" t="inlineStr">
        <is>
          <t>TECO10</t>
        </is>
      </c>
      <c r="D147" s="31" t="n">
        <v>8102</v>
      </c>
      <c r="E147" s="31" t="n">
        <v>392</v>
      </c>
      <c r="F147" s="33" t="n">
        <v>276.8673469387755</v>
      </c>
      <c r="G147" s="33" t="n">
        <v>720.2960581426837</v>
      </c>
      <c r="H147" s="33" t="n">
        <v>3203.720000000001</v>
      </c>
      <c r="I147" s="33" t="n">
        <v>301.45</v>
      </c>
      <c r="J147" s="33" t="n">
        <v>0.125</v>
      </c>
      <c r="K147" s="33" t="n">
        <v>249.0180878552972</v>
      </c>
      <c r="L147" s="33" t="n">
        <v>613.1871982528231</v>
      </c>
      <c r="M147" s="33" t="n">
        <v>519659.5005157745</v>
      </c>
      <c r="N147" s="33" t="n">
        <v>55379</v>
      </c>
      <c r="O147" s="34" t="n">
        <v>0</v>
      </c>
      <c r="P147" s="34" t="n">
        <v>0.067413137222541</v>
      </c>
      <c r="Q147" s="34" t="n">
        <v>-0.0015222509752427</v>
      </c>
      <c r="R147" s="31" t="n">
        <v>720</v>
      </c>
      <c r="S147" s="31" t="n">
        <v>200</v>
      </c>
      <c r="T147" s="31" t="inlineStr">
        <is>
          <t>L</t>
        </is>
      </c>
      <c r="U147" s="31" t="inlineStr">
        <is>
          <t>Arterial</t>
        </is>
      </c>
      <c r="V147" s="31" t="inlineStr">
        <is>
          <t>NEW DEVELOPMENT RESULT</t>
        </is>
      </c>
      <c r="W147" s="31" t="n">
        <v>0.0016815670961003</v>
      </c>
    </row>
    <row r="148" ht="24" customHeight="1">
      <c r="A148" s="31" t="inlineStr">
        <is>
          <t>D008__TECO10__8103</t>
        </is>
      </c>
      <c r="B148" s="31" t="inlineStr">
        <is>
          <t>D008</t>
        </is>
      </c>
      <c r="C148" s="31" t="inlineStr">
        <is>
          <t>TECO10</t>
        </is>
      </c>
      <c r="D148" s="31" t="n">
        <v>8103</v>
      </c>
      <c r="E148" s="31" t="n">
        <v>361</v>
      </c>
      <c r="F148" s="33" t="n">
        <v>273.6426592797784</v>
      </c>
      <c r="G148" s="33" t="n">
        <v>708.4537871369897</v>
      </c>
      <c r="H148" s="33" t="n">
        <v>3203.72</v>
      </c>
      <c r="I148" s="33" t="n">
        <v>298</v>
      </c>
      <c r="J148" s="33" t="n">
        <v>0.1412742382271468</v>
      </c>
      <c r="K148" s="33" t="n">
        <v>247.0275689223058</v>
      </c>
      <c r="L148" s="33" t="n">
        <v>607.6764235974201</v>
      </c>
      <c r="M148" s="33" t="n">
        <v>498214.7101718239</v>
      </c>
      <c r="N148" s="33" t="n">
        <v>53006</v>
      </c>
      <c r="O148" s="34" t="n">
        <v>0</v>
      </c>
      <c r="P148" s="34" t="n">
        <v>0.0718757320903836</v>
      </c>
      <c r="Q148" s="34" t="n">
        <v>-0.0005152495181328</v>
      </c>
      <c r="R148" s="31" t="n">
        <v>720</v>
      </c>
      <c r="S148" s="31" t="n">
        <v>200</v>
      </c>
      <c r="T148" s="31" t="inlineStr">
        <is>
          <t>L</t>
        </is>
      </c>
      <c r="U148" s="31" t="inlineStr">
        <is>
          <t>Arterial</t>
        </is>
      </c>
      <c r="V148" s="31" t="inlineStr">
        <is>
          <t>NEW DEVELOPMENT RESULT</t>
        </is>
      </c>
      <c r="W148" s="31" t="n">
        <v>0.0016944688611323</v>
      </c>
    </row>
    <row r="149" ht="24" customHeight="1">
      <c r="A149" s="31" t="inlineStr">
        <is>
          <t>D008__TECO15__8101</t>
        </is>
      </c>
      <c r="B149" s="31" t="inlineStr">
        <is>
          <t>D008</t>
        </is>
      </c>
      <c r="C149" s="31" t="inlineStr">
        <is>
          <t>TECO15</t>
        </is>
      </c>
      <c r="D149" s="31" t="n">
        <v>8101</v>
      </c>
      <c r="E149" s="31" t="n">
        <v>375</v>
      </c>
      <c r="F149" s="33" t="n">
        <v>274.2746666666667</v>
      </c>
      <c r="G149" s="33" t="n">
        <v>709.7937179168531</v>
      </c>
      <c r="H149" s="33" t="n">
        <v>3203.72</v>
      </c>
      <c r="I149" s="33" t="n">
        <v>299</v>
      </c>
      <c r="J149" s="33" t="n">
        <v>0.0986666666666666</v>
      </c>
      <c r="K149" s="33" t="n">
        <v>246.9867724867725</v>
      </c>
      <c r="L149" s="33" t="n">
        <v>607.6499770611385</v>
      </c>
      <c r="M149" s="33" t="n">
        <v>495864.3355479303</v>
      </c>
      <c r="N149" s="33" t="n">
        <v>54441</v>
      </c>
      <c r="O149" s="34" t="n">
        <v>0</v>
      </c>
      <c r="P149" s="34" t="n">
        <v>0.0645459001489055</v>
      </c>
      <c r="Q149" s="34" t="n">
        <v>0.0114954221864662</v>
      </c>
      <c r="R149" s="31" t="n">
        <v>720</v>
      </c>
      <c r="S149" s="31" t="n">
        <v>200</v>
      </c>
      <c r="T149" s="31" t="inlineStr">
        <is>
          <t>L</t>
        </is>
      </c>
      <c r="U149" s="31" t="inlineStr">
        <is>
          <t>Arterial</t>
        </is>
      </c>
      <c r="V149" s="31" t="inlineStr">
        <is>
          <t>NEW DEVELOPMENT RESULT</t>
        </is>
      </c>
      <c r="W149" s="31" t="n">
        <v>0.0016761287980159</v>
      </c>
    </row>
    <row r="150" ht="24" customHeight="1">
      <c r="A150" s="31" t="inlineStr">
        <is>
          <t>D008__TECO15__8102</t>
        </is>
      </c>
      <c r="B150" s="31" t="inlineStr">
        <is>
          <t>D008</t>
        </is>
      </c>
      <c r="C150" s="31" t="inlineStr">
        <is>
          <t>TECO15</t>
        </is>
      </c>
      <c r="D150" s="31" t="n">
        <v>8102</v>
      </c>
      <c r="E150" s="31" t="n">
        <v>392</v>
      </c>
      <c r="F150" s="33" t="n">
        <v>276.8673469387755</v>
      </c>
      <c r="G150" s="33" t="n">
        <v>720.2960581426837</v>
      </c>
      <c r="H150" s="33" t="n">
        <v>3203.720000000001</v>
      </c>
      <c r="I150" s="33" t="n">
        <v>301.45</v>
      </c>
      <c r="J150" s="33" t="n">
        <v>0.125</v>
      </c>
      <c r="K150" s="33" t="n">
        <v>249.0180878552972</v>
      </c>
      <c r="L150" s="33" t="n">
        <v>613.1871982528231</v>
      </c>
      <c r="M150" s="33" t="n">
        <v>519659.5005157745</v>
      </c>
      <c r="N150" s="33" t="n">
        <v>55379</v>
      </c>
      <c r="O150" s="34" t="n">
        <v>0</v>
      </c>
      <c r="P150" s="34" t="n">
        <v>0.067413137222541</v>
      </c>
      <c r="Q150" s="34" t="n">
        <v>-0.0015222509752427</v>
      </c>
      <c r="R150" s="31" t="n">
        <v>720</v>
      </c>
      <c r="S150" s="31" t="n">
        <v>200</v>
      </c>
      <c r="T150" s="31" t="inlineStr">
        <is>
          <t>L</t>
        </is>
      </c>
      <c r="U150" s="31" t="inlineStr">
        <is>
          <t>Arterial</t>
        </is>
      </c>
      <c r="V150" s="31" t="inlineStr">
        <is>
          <t>NEW DEVELOPMENT RESULT</t>
        </is>
      </c>
      <c r="W150" s="31" t="n">
        <v>0.0016815670961003</v>
      </c>
    </row>
    <row r="151" ht="24" customHeight="1">
      <c r="A151" s="31" t="inlineStr">
        <is>
          <t>D008__TECO15__8103</t>
        </is>
      </c>
      <c r="B151" s="31" t="inlineStr">
        <is>
          <t>D008</t>
        </is>
      </c>
      <c r="C151" s="31" t="inlineStr">
        <is>
          <t>TECO15</t>
        </is>
      </c>
      <c r="D151" s="31" t="n">
        <v>8103</v>
      </c>
      <c r="E151" s="31" t="n">
        <v>361</v>
      </c>
      <c r="F151" s="33" t="n">
        <v>273.6426592797784</v>
      </c>
      <c r="G151" s="33" t="n">
        <v>708.4537871369897</v>
      </c>
      <c r="H151" s="33" t="n">
        <v>3203.72</v>
      </c>
      <c r="I151" s="33" t="n">
        <v>298</v>
      </c>
      <c r="J151" s="33" t="n">
        <v>0.1412742382271468</v>
      </c>
      <c r="K151" s="33" t="n">
        <v>247.0275689223058</v>
      </c>
      <c r="L151" s="33" t="n">
        <v>607.6764235974201</v>
      </c>
      <c r="M151" s="33" t="n">
        <v>498214.7101718239</v>
      </c>
      <c r="N151" s="33" t="n">
        <v>53006</v>
      </c>
      <c r="O151" s="34" t="n">
        <v>0</v>
      </c>
      <c r="P151" s="34" t="n">
        <v>0.0718757320903836</v>
      </c>
      <c r="Q151" s="34" t="n">
        <v>-0.0005152495181328</v>
      </c>
      <c r="R151" s="31" t="n">
        <v>720</v>
      </c>
      <c r="S151" s="31" t="n">
        <v>200</v>
      </c>
      <c r="T151" s="31" t="inlineStr">
        <is>
          <t>L</t>
        </is>
      </c>
      <c r="U151" s="31" t="inlineStr">
        <is>
          <t>Arterial</t>
        </is>
      </c>
      <c r="V151" s="31" t="inlineStr">
        <is>
          <t>NEW DEVELOPMENT RESULT</t>
        </is>
      </c>
      <c r="W151" s="31" t="n">
        <v>0.0016944688611323</v>
      </c>
    </row>
    <row r="152" ht="24" customHeight="1">
      <c r="A152" s="31" t="inlineStr">
        <is>
          <t>D009__SP__8101</t>
        </is>
      </c>
      <c r="B152" s="31" t="inlineStr">
        <is>
          <t>D009</t>
        </is>
      </c>
      <c r="C152" s="31" t="inlineStr">
        <is>
          <t>SP</t>
        </is>
      </c>
      <c r="D152" s="31" t="n">
        <v>8101</v>
      </c>
      <c r="E152" s="31" t="n">
        <v>611</v>
      </c>
      <c r="F152" s="33" t="n">
        <v>693.9803600654665</v>
      </c>
      <c r="G152" s="33" t="n">
        <v>1956.011235073604</v>
      </c>
      <c r="H152" s="33" t="n">
        <v>3203.72</v>
      </c>
      <c r="I152" s="33" t="n">
        <v>847</v>
      </c>
      <c r="J152" s="33" t="n">
        <v>32.88216039279869</v>
      </c>
      <c r="K152" s="33" t="n">
        <v>236.9867724867725</v>
      </c>
      <c r="L152" s="33" t="n">
        <v>578.6863631529501</v>
      </c>
      <c r="M152" s="33" t="n">
        <v>1413866.309901787</v>
      </c>
      <c r="N152" s="33" t="n">
        <v>295444</v>
      </c>
      <c r="O152" s="34" t="n">
        <v>0</v>
      </c>
      <c r="P152" s="34" t="n">
        <v>0.0405537368019663</v>
      </c>
      <c r="Q152" s="34" t="n">
        <v>-0.0309304795097078</v>
      </c>
      <c r="R152" s="31" t="n">
        <v>1200</v>
      </c>
      <c r="S152" s="31" t="n">
        <v>200</v>
      </c>
      <c r="T152" s="31" t="inlineStr">
        <is>
          <t>None</t>
        </is>
      </c>
      <c r="U152" s="31" t="inlineStr">
        <is>
          <t>Balanced</t>
        </is>
      </c>
      <c r="V152" s="31" t="inlineStr">
        <is>
          <t>NEW DEVELOPMENT RESULT</t>
        </is>
      </c>
      <c r="W152" s="31" t="n">
        <v>0.0008347135490192</v>
      </c>
    </row>
    <row r="153" ht="24" customHeight="1">
      <c r="A153" s="31" t="inlineStr">
        <is>
          <t>D009__SP__8102</t>
        </is>
      </c>
      <c r="B153" s="31" t="inlineStr">
        <is>
          <t>D009</t>
        </is>
      </c>
      <c r="C153" s="31" t="inlineStr">
        <is>
          <t>SP</t>
        </is>
      </c>
      <c r="D153" s="31" t="n">
        <v>8102</v>
      </c>
      <c r="E153" s="31" t="n">
        <v>654</v>
      </c>
      <c r="F153" s="33" t="n">
        <v>648.5045871559633</v>
      </c>
      <c r="G153" s="33" t="n">
        <v>1832.72074825944</v>
      </c>
      <c r="H153" s="33" t="n">
        <v>3203.72</v>
      </c>
      <c r="I153" s="33" t="n">
        <v>886.0500000000001</v>
      </c>
      <c r="J153" s="33" t="n">
        <v>26.92201834862385</v>
      </c>
      <c r="K153" s="33" t="n">
        <v>238.7777777777778</v>
      </c>
      <c r="L153" s="33" t="n">
        <v>583.9838383188488</v>
      </c>
      <c r="M153" s="33" t="n">
        <v>1424601.114791068</v>
      </c>
      <c r="N153" s="33" t="n">
        <v>274268</v>
      </c>
      <c r="O153" s="34" t="n">
        <v>0</v>
      </c>
      <c r="P153" s="34" t="n">
        <v>0.065358043871369</v>
      </c>
      <c r="Q153" s="34" t="n">
        <v>-0.0581286491197569</v>
      </c>
      <c r="R153" s="31" t="n">
        <v>1200</v>
      </c>
      <c r="S153" s="31" t="n">
        <v>200</v>
      </c>
      <c r="T153" s="31" t="inlineStr">
        <is>
          <t>None</t>
        </is>
      </c>
      <c r="U153" s="31" t="inlineStr">
        <is>
          <t>Balanced</t>
        </is>
      </c>
      <c r="V153" s="31" t="inlineStr">
        <is>
          <t>NEW DEVELOPMENT RESULT</t>
        </is>
      </c>
      <c r="W153" s="31" t="n">
        <v>0.0008827030012748</v>
      </c>
    </row>
    <row r="154" ht="24" customHeight="1">
      <c r="A154" s="31" t="inlineStr">
        <is>
          <t>D009__SP__8103</t>
        </is>
      </c>
      <c r="B154" s="31" t="inlineStr">
        <is>
          <t>D009</t>
        </is>
      </c>
      <c r="C154" s="31" t="inlineStr">
        <is>
          <t>SP</t>
        </is>
      </c>
      <c r="D154" s="31" t="n">
        <v>8103</v>
      </c>
      <c r="E154" s="31" t="n">
        <v>597</v>
      </c>
      <c r="F154" s="33" t="n">
        <v>581.8140703517588</v>
      </c>
      <c r="G154" s="33" t="n">
        <v>1703.12466557422</v>
      </c>
      <c r="H154" s="33" t="n">
        <v>3203.72</v>
      </c>
      <c r="I154" s="33" t="n">
        <v>706.1999999999999</v>
      </c>
      <c r="J154" s="33" t="n">
        <v>0.52428810720268</v>
      </c>
      <c r="K154" s="33" t="n">
        <v>237.0275689223058</v>
      </c>
      <c r="L154" s="33" t="n">
        <v>579.2319598187086</v>
      </c>
      <c r="M154" s="33" t="n">
        <v>1247878.977315474</v>
      </c>
      <c r="N154" s="33" t="n">
        <v>238130</v>
      </c>
      <c r="O154" s="34" t="n">
        <v>0</v>
      </c>
      <c r="P154" s="34" t="n">
        <v>0.06535749501550819</v>
      </c>
      <c r="Q154" s="34" t="n">
        <v>-0.0566849351687957</v>
      </c>
      <c r="R154" s="31" t="n">
        <v>1200</v>
      </c>
      <c r="S154" s="31" t="n">
        <v>200</v>
      </c>
      <c r="T154" s="31" t="inlineStr">
        <is>
          <t>None</t>
        </is>
      </c>
      <c r="U154" s="31" t="inlineStr">
        <is>
          <t>Balanced</t>
        </is>
      </c>
      <c r="V154" s="31" t="inlineStr">
        <is>
          <t>NEW DEVELOPMENT RESULT</t>
        </is>
      </c>
      <c r="W154" s="31" t="n">
        <v>0.0009452630134992</v>
      </c>
    </row>
    <row r="155" ht="24" customHeight="1">
      <c r="A155" s="31" t="inlineStr">
        <is>
          <t>D009__DTT__8101</t>
        </is>
      </c>
      <c r="B155" s="31" t="inlineStr">
        <is>
          <t>D009</t>
        </is>
      </c>
      <c r="C155" s="31" t="inlineStr">
        <is>
          <t>DTT</t>
        </is>
      </c>
      <c r="D155" s="31" t="n">
        <v>8101</v>
      </c>
      <c r="E155" s="31" t="n">
        <v>611</v>
      </c>
      <c r="F155" s="33" t="n">
        <v>473.2929623567921</v>
      </c>
      <c r="G155" s="33" t="n">
        <v>1266.483031399431</v>
      </c>
      <c r="H155" s="33" t="n">
        <v>3631.155810147297</v>
      </c>
      <c r="I155" s="33" t="n">
        <v>673</v>
      </c>
      <c r="J155" s="33" t="n">
        <v>0.3306055646481178</v>
      </c>
      <c r="K155" s="33" t="n">
        <v>238.3439153439153</v>
      </c>
      <c r="L155" s="33" t="n">
        <v>582.3611470629736</v>
      </c>
      <c r="M155" s="33" t="n">
        <v>993953.6457748564</v>
      </c>
      <c r="N155" s="33" t="n">
        <v>163869</v>
      </c>
      <c r="O155" s="34" t="n">
        <v>0.6727588201272412</v>
      </c>
      <c r="P155" s="34" t="n">
        <v>0.2580365443207865</v>
      </c>
      <c r="Q155" s="34" t="n">
        <v>0.0524658325820398</v>
      </c>
      <c r="R155" s="31" t="n">
        <v>1200</v>
      </c>
      <c r="S155" s="31" t="n">
        <v>200</v>
      </c>
      <c r="T155" s="31" t="inlineStr">
        <is>
          <t>None</t>
        </is>
      </c>
      <c r="U155" s="31" t="inlineStr">
        <is>
          <t>Balanced</t>
        </is>
      </c>
      <c r="V155" s="31" t="inlineStr">
        <is>
          <t>NEW DEVELOPMENT RESULT</t>
        </is>
      </c>
      <c r="W155" s="31" t="n">
        <v>0.0010881745228694</v>
      </c>
    </row>
    <row r="156" ht="24" customHeight="1">
      <c r="A156" s="31" t="inlineStr">
        <is>
          <t>D009__DTT__8102</t>
        </is>
      </c>
      <c r="B156" s="31" t="inlineStr">
        <is>
          <t>D009</t>
        </is>
      </c>
      <c r="C156" s="31" t="inlineStr">
        <is>
          <t>DTT</t>
        </is>
      </c>
      <c r="D156" s="31" t="n">
        <v>8102</v>
      </c>
      <c r="E156" s="31" t="n">
        <v>654</v>
      </c>
      <c r="F156" s="33" t="n">
        <v>448.039755351682</v>
      </c>
      <c r="G156" s="33" t="n">
        <v>1226.902296520551</v>
      </c>
      <c r="H156" s="33" t="n">
        <v>3505.859571865444</v>
      </c>
      <c r="I156" s="33" t="n">
        <v>585.8000000000002</v>
      </c>
      <c r="J156" s="33" t="n">
        <v>0.6100917431192661</v>
      </c>
      <c r="K156" s="33" t="n">
        <v>238.7777777777778</v>
      </c>
      <c r="L156" s="33" t="n">
        <v>583.9838383188488</v>
      </c>
      <c r="M156" s="33" t="n">
        <v>1028395.847353835</v>
      </c>
      <c r="N156" s="33" t="n">
        <v>152190</v>
      </c>
      <c r="O156" s="34" t="n">
        <v>0.6096001859600186</v>
      </c>
      <c r="P156" s="34" t="n">
        <v>0.2145295385630147</v>
      </c>
      <c r="Q156" s="34" t="n">
        <v>0.0231119879484865</v>
      </c>
      <c r="R156" s="31" t="n">
        <v>1200</v>
      </c>
      <c r="S156" s="31" t="n">
        <v>200</v>
      </c>
      <c r="T156" s="31" t="inlineStr">
        <is>
          <t>None</t>
        </is>
      </c>
      <c r="U156" s="31" t="inlineStr">
        <is>
          <t>Balanced</t>
        </is>
      </c>
      <c r="V156" s="31" t="inlineStr">
        <is>
          <t>NEW DEVELOPMENT RESULT</t>
        </is>
      </c>
      <c r="W156" s="31" t="n">
        <v>0.0011410979481673</v>
      </c>
    </row>
    <row r="157" ht="24" customHeight="1">
      <c r="A157" s="31" t="inlineStr">
        <is>
          <t>D009__DTT__8103</t>
        </is>
      </c>
      <c r="B157" s="31" t="inlineStr">
        <is>
          <t>D009</t>
        </is>
      </c>
      <c r="C157" s="31" t="inlineStr">
        <is>
          <t>DTT</t>
        </is>
      </c>
      <c r="D157" s="31" t="n">
        <v>8103</v>
      </c>
      <c r="E157" s="31" t="n">
        <v>597</v>
      </c>
      <c r="F157" s="33" t="n">
        <v>427.4773869346733</v>
      </c>
      <c r="G157" s="33" t="n">
        <v>1151.054173192261</v>
      </c>
      <c r="H157" s="33" t="n">
        <v>3562.863685092127</v>
      </c>
      <c r="I157" s="33" t="n">
        <v>600</v>
      </c>
      <c r="J157" s="33" t="n">
        <v>0.4304857621440536</v>
      </c>
      <c r="K157" s="33" t="n">
        <v>237.0275689223058</v>
      </c>
      <c r="L157" s="33" t="n">
        <v>579.2319598187086</v>
      </c>
      <c r="M157" s="33" t="n">
        <v>918292.8933634444</v>
      </c>
      <c r="N157" s="33" t="n">
        <v>132552</v>
      </c>
      <c r="O157" s="34" t="n">
        <v>0.6155857089505788</v>
      </c>
      <c r="P157" s="34" t="n">
        <v>0.2452438372509436</v>
      </c>
      <c r="Q157" s="34" t="n">
        <v>0.1017409304272655</v>
      </c>
      <c r="R157" s="31" t="n">
        <v>1200</v>
      </c>
      <c r="S157" s="31" t="n">
        <v>200</v>
      </c>
      <c r="T157" s="31" t="inlineStr">
        <is>
          <t>None</t>
        </is>
      </c>
      <c r="U157" s="31" t="inlineStr">
        <is>
          <t>Balanced</t>
        </is>
      </c>
      <c r="V157" s="31" t="inlineStr">
        <is>
          <t>NEW DEVELOPMENT RESULT</t>
        </is>
      </c>
      <c r="W157" s="31" t="n">
        <v>0.0011764592768946</v>
      </c>
    </row>
    <row r="158" ht="24" customHeight="1">
      <c r="A158" s="31" t="inlineStr">
        <is>
          <t>D009__ECO__8101</t>
        </is>
      </c>
      <c r="B158" s="31" t="inlineStr">
        <is>
          <t>D009</t>
        </is>
      </c>
      <c r="C158" s="31" t="inlineStr">
        <is>
          <t>ECO</t>
        </is>
      </c>
      <c r="D158" s="31" t="n">
        <v>8101</v>
      </c>
      <c r="E158" s="31" t="n">
        <v>611</v>
      </c>
      <c r="F158" s="33" t="n">
        <v>693.9803600654665</v>
      </c>
      <c r="G158" s="33" t="n">
        <v>1956.011235073604</v>
      </c>
      <c r="H158" s="33" t="n">
        <v>3203.72</v>
      </c>
      <c r="I158" s="33" t="n">
        <v>847</v>
      </c>
      <c r="J158" s="33" t="n">
        <v>32.88216039279869</v>
      </c>
      <c r="K158" s="33" t="n">
        <v>236.9867724867725</v>
      </c>
      <c r="L158" s="33" t="n">
        <v>578.6863631529501</v>
      </c>
      <c r="M158" s="33" t="n">
        <v>1413866.309901787</v>
      </c>
      <c r="N158" s="33" t="n">
        <v>295444</v>
      </c>
      <c r="O158" s="34" t="n">
        <v>0</v>
      </c>
      <c r="P158" s="34" t="n">
        <v>0.0405537368019663</v>
      </c>
      <c r="Q158" s="34" t="n">
        <v>-0.0309304795097078</v>
      </c>
      <c r="R158" s="31" t="n">
        <v>1200</v>
      </c>
      <c r="S158" s="31" t="n">
        <v>200</v>
      </c>
      <c r="T158" s="31" t="inlineStr">
        <is>
          <t>None</t>
        </is>
      </c>
      <c r="U158" s="31" t="inlineStr">
        <is>
          <t>Balanced</t>
        </is>
      </c>
      <c r="V158" s="31" t="inlineStr">
        <is>
          <t>NEW DEVELOPMENT RESULT</t>
        </is>
      </c>
      <c r="W158" s="31" t="n">
        <v>0.0008347135490192</v>
      </c>
    </row>
    <row r="159" ht="24" customHeight="1">
      <c r="A159" s="31" t="inlineStr">
        <is>
          <t>D009__ECO__8102</t>
        </is>
      </c>
      <c r="B159" s="31" t="inlineStr">
        <is>
          <t>D009</t>
        </is>
      </c>
      <c r="C159" s="31" t="inlineStr">
        <is>
          <t>ECO</t>
        </is>
      </c>
      <c r="D159" s="31" t="n">
        <v>8102</v>
      </c>
      <c r="E159" s="31" t="n">
        <v>654</v>
      </c>
      <c r="F159" s="33" t="n">
        <v>648.5045871559633</v>
      </c>
      <c r="G159" s="33" t="n">
        <v>1832.72074825944</v>
      </c>
      <c r="H159" s="33" t="n">
        <v>3203.72</v>
      </c>
      <c r="I159" s="33" t="n">
        <v>886.0500000000001</v>
      </c>
      <c r="J159" s="33" t="n">
        <v>26.92201834862385</v>
      </c>
      <c r="K159" s="33" t="n">
        <v>238.7777777777778</v>
      </c>
      <c r="L159" s="33" t="n">
        <v>583.9838383188488</v>
      </c>
      <c r="M159" s="33" t="n">
        <v>1424601.114791068</v>
      </c>
      <c r="N159" s="33" t="n">
        <v>274268</v>
      </c>
      <c r="O159" s="34" t="n">
        <v>0</v>
      </c>
      <c r="P159" s="34" t="n">
        <v>0.065358043871369</v>
      </c>
      <c r="Q159" s="34" t="n">
        <v>-0.0581286491197569</v>
      </c>
      <c r="R159" s="31" t="n">
        <v>1200</v>
      </c>
      <c r="S159" s="31" t="n">
        <v>200</v>
      </c>
      <c r="T159" s="31" t="inlineStr">
        <is>
          <t>None</t>
        </is>
      </c>
      <c r="U159" s="31" t="inlineStr">
        <is>
          <t>Balanced</t>
        </is>
      </c>
      <c r="V159" s="31" t="inlineStr">
        <is>
          <t>NEW DEVELOPMENT RESULT</t>
        </is>
      </c>
      <c r="W159" s="31" t="n">
        <v>0.0008827030012748</v>
      </c>
    </row>
    <row r="160" ht="24" customHeight="1">
      <c r="A160" s="31" t="inlineStr">
        <is>
          <t>D009__ECO__8103</t>
        </is>
      </c>
      <c r="B160" s="31" t="inlineStr">
        <is>
          <t>D009</t>
        </is>
      </c>
      <c r="C160" s="31" t="inlineStr">
        <is>
          <t>ECO</t>
        </is>
      </c>
      <c r="D160" s="31" t="n">
        <v>8103</v>
      </c>
      <c r="E160" s="31" t="n">
        <v>597</v>
      </c>
      <c r="F160" s="33" t="n">
        <v>581.8140703517588</v>
      </c>
      <c r="G160" s="33" t="n">
        <v>1703.12466557422</v>
      </c>
      <c r="H160" s="33" t="n">
        <v>3203.72</v>
      </c>
      <c r="I160" s="33" t="n">
        <v>706.1999999999999</v>
      </c>
      <c r="J160" s="33" t="n">
        <v>0.52428810720268</v>
      </c>
      <c r="K160" s="33" t="n">
        <v>237.0275689223058</v>
      </c>
      <c r="L160" s="33" t="n">
        <v>579.2319598187086</v>
      </c>
      <c r="M160" s="33" t="n">
        <v>1247878.977315474</v>
      </c>
      <c r="N160" s="33" t="n">
        <v>238130</v>
      </c>
      <c r="O160" s="34" t="n">
        <v>0</v>
      </c>
      <c r="P160" s="34" t="n">
        <v>0.06535749501550819</v>
      </c>
      <c r="Q160" s="34" t="n">
        <v>-0.0566849351687957</v>
      </c>
      <c r="R160" s="31" t="n">
        <v>1200</v>
      </c>
      <c r="S160" s="31" t="n">
        <v>200</v>
      </c>
      <c r="T160" s="31" t="inlineStr">
        <is>
          <t>None</t>
        </is>
      </c>
      <c r="U160" s="31" t="inlineStr">
        <is>
          <t>Balanced</t>
        </is>
      </c>
      <c r="V160" s="31" t="inlineStr">
        <is>
          <t>NEW DEVELOPMENT RESULT</t>
        </is>
      </c>
      <c r="W160" s="31" t="n">
        <v>0.0009452630134992</v>
      </c>
    </row>
    <row r="161" ht="24" customHeight="1">
      <c r="A161" s="31" t="inlineStr">
        <is>
          <t>D009__TECO05__8101</t>
        </is>
      </c>
      <c r="B161" s="31" t="inlineStr">
        <is>
          <t>D009</t>
        </is>
      </c>
      <c r="C161" s="31" t="inlineStr">
        <is>
          <t>TECO05</t>
        </is>
      </c>
      <c r="D161" s="31" t="n">
        <v>8101</v>
      </c>
      <c r="E161" s="31" t="n">
        <v>611</v>
      </c>
      <c r="F161" s="33" t="n">
        <v>402.4206219312603</v>
      </c>
      <c r="G161" s="33" t="n">
        <v>1083.432000704698</v>
      </c>
      <c r="H161" s="33" t="n">
        <v>3540.588723404255</v>
      </c>
      <c r="I161" s="33" t="n">
        <v>536</v>
      </c>
      <c r="J161" s="33" t="n">
        <v>0.3306055646481178</v>
      </c>
      <c r="K161" s="33" t="n">
        <v>237.0873015873016</v>
      </c>
      <c r="L161" s="33" t="n">
        <v>578.832435784851</v>
      </c>
      <c r="M161" s="33" t="n">
        <v>880775.6131572444</v>
      </c>
      <c r="N161" s="33" t="n">
        <v>135463</v>
      </c>
      <c r="O161" s="34" t="n">
        <v>0.5662591687041565</v>
      </c>
      <c r="P161" s="34" t="n">
        <v>0.2104252513366214</v>
      </c>
      <c r="Q161" s="34" t="n">
        <v>0.1152425455753927</v>
      </c>
      <c r="R161" s="31" t="n">
        <v>1200</v>
      </c>
      <c r="S161" s="31" t="n">
        <v>200</v>
      </c>
      <c r="T161" s="31" t="inlineStr">
        <is>
          <t>None</t>
        </is>
      </c>
      <c r="U161" s="31" t="inlineStr">
        <is>
          <t>Balanced</t>
        </is>
      </c>
      <c r="V161" s="31" t="inlineStr">
        <is>
          <t>NEW DEVELOPMENT RESULT</t>
        </is>
      </c>
      <c r="W161" s="31" t="n">
        <v>0.0011800351066903</v>
      </c>
    </row>
    <row r="162" ht="24" customHeight="1">
      <c r="A162" s="31" t="inlineStr">
        <is>
          <t>D009__TECO05__8102</t>
        </is>
      </c>
      <c r="B162" s="31" t="inlineStr">
        <is>
          <t>D009</t>
        </is>
      </c>
      <c r="C162" s="31" t="inlineStr">
        <is>
          <t>TECO05</t>
        </is>
      </c>
      <c r="D162" s="31" t="n">
        <v>8102</v>
      </c>
      <c r="E162" s="31" t="n">
        <v>654</v>
      </c>
      <c r="F162" s="33" t="n">
        <v>448.039755351682</v>
      </c>
      <c r="G162" s="33" t="n">
        <v>1226.902296520551</v>
      </c>
      <c r="H162" s="33" t="n">
        <v>3505.859571865444</v>
      </c>
      <c r="I162" s="33" t="n">
        <v>585.8000000000002</v>
      </c>
      <c r="J162" s="33" t="n">
        <v>0.6100917431192661</v>
      </c>
      <c r="K162" s="33" t="n">
        <v>238.7777777777778</v>
      </c>
      <c r="L162" s="33" t="n">
        <v>583.9838383188488</v>
      </c>
      <c r="M162" s="33" t="n">
        <v>1028395.847353835</v>
      </c>
      <c r="N162" s="33" t="n">
        <v>152190</v>
      </c>
      <c r="O162" s="34" t="n">
        <v>0.6096001859600186</v>
      </c>
      <c r="P162" s="34" t="n">
        <v>0.2145295385630147</v>
      </c>
      <c r="Q162" s="34" t="n">
        <v>0.0231119879484865</v>
      </c>
      <c r="R162" s="31" t="n">
        <v>1200</v>
      </c>
      <c r="S162" s="31" t="n">
        <v>200</v>
      </c>
      <c r="T162" s="31" t="inlineStr">
        <is>
          <t>None</t>
        </is>
      </c>
      <c r="U162" s="31" t="inlineStr">
        <is>
          <t>Balanced</t>
        </is>
      </c>
      <c r="V162" s="31" t="inlineStr">
        <is>
          <t>NEW DEVELOPMENT RESULT</t>
        </is>
      </c>
      <c r="W162" s="31" t="n">
        <v>0.0011410979481673</v>
      </c>
    </row>
    <row r="163" ht="24" customHeight="1">
      <c r="A163" s="31" t="inlineStr">
        <is>
          <t>D009__TECO05__8103</t>
        </is>
      </c>
      <c r="B163" s="31" t="inlineStr">
        <is>
          <t>D009</t>
        </is>
      </c>
      <c r="C163" s="31" t="inlineStr">
        <is>
          <t>TECO05</t>
        </is>
      </c>
      <c r="D163" s="31" t="n">
        <v>8103</v>
      </c>
      <c r="E163" s="31" t="n">
        <v>597</v>
      </c>
      <c r="F163" s="33" t="n">
        <v>421.9296482412061</v>
      </c>
      <c r="G163" s="33" t="n">
        <v>1143.923370548879</v>
      </c>
      <c r="H163" s="33" t="n">
        <v>3512.980351758793</v>
      </c>
      <c r="I163" s="33" t="n">
        <v>579.1999999999999</v>
      </c>
      <c r="J163" s="33" t="n">
        <v>0.4304857621440536</v>
      </c>
      <c r="K163" s="33" t="n">
        <v>237.0350877192982</v>
      </c>
      <c r="L163" s="33" t="n">
        <v>579.2403816633088</v>
      </c>
      <c r="M163" s="33" t="n">
        <v>914039.1645013412</v>
      </c>
      <c r="N163" s="33" t="n">
        <v>133002</v>
      </c>
      <c r="O163" s="34" t="n">
        <v>0.5873440285204992</v>
      </c>
      <c r="P163" s="34" t="n">
        <v>0.2275611723489098</v>
      </c>
      <c r="Q163" s="34" t="n">
        <v>0.075811110516014</v>
      </c>
      <c r="R163" s="31" t="n">
        <v>1200</v>
      </c>
      <c r="S163" s="31" t="n">
        <v>200</v>
      </c>
      <c r="T163" s="31" t="inlineStr">
        <is>
          <t>None</t>
        </is>
      </c>
      <c r="U163" s="31" t="inlineStr">
        <is>
          <t>Balanced</t>
        </is>
      </c>
      <c r="V163" s="31" t="inlineStr">
        <is>
          <t>NEW DEVELOPMENT RESULT</t>
        </is>
      </c>
      <c r="W163" s="31" t="n">
        <v>0.0011851588786644</v>
      </c>
    </row>
    <row r="164" ht="24" customHeight="1">
      <c r="A164" s="31" t="inlineStr">
        <is>
          <t>D009__TECO10__8101</t>
        </is>
      </c>
      <c r="B164" s="31" t="inlineStr">
        <is>
          <t>D009</t>
        </is>
      </c>
      <c r="C164" s="31" t="inlineStr">
        <is>
          <t>TECO10</t>
        </is>
      </c>
      <c r="D164" s="31" t="n">
        <v>8101</v>
      </c>
      <c r="E164" s="31" t="n">
        <v>611</v>
      </c>
      <c r="F164" s="33" t="n">
        <v>385.3387888707038</v>
      </c>
      <c r="G164" s="33" t="n">
        <v>1059.984568548924</v>
      </c>
      <c r="H164" s="33" t="n">
        <v>3437.68039279869</v>
      </c>
      <c r="I164" s="33" t="n">
        <v>461</v>
      </c>
      <c r="J164" s="33" t="n">
        <v>0.3306055646481178</v>
      </c>
      <c r="K164" s="33" t="n">
        <v>236.9867724867725</v>
      </c>
      <c r="L164" s="33" t="n">
        <v>578.6730668716593</v>
      </c>
      <c r="M164" s="33" t="n">
        <v>866388.9906608802</v>
      </c>
      <c r="N164" s="33" t="n">
        <v>136423</v>
      </c>
      <c r="O164" s="34" t="n">
        <v>0.269828825297269</v>
      </c>
      <c r="P164" s="34" t="n">
        <v>0.1667472830119356</v>
      </c>
      <c r="Q164" s="34" t="n">
        <v>0.09615335546072939</v>
      </c>
      <c r="R164" s="31" t="n">
        <v>1200</v>
      </c>
      <c r="S164" s="31" t="n">
        <v>200</v>
      </c>
      <c r="T164" s="31" t="inlineStr">
        <is>
          <t>None</t>
        </is>
      </c>
      <c r="U164" s="31" t="inlineStr">
        <is>
          <t>Balanced</t>
        </is>
      </c>
      <c r="V164" s="31" t="inlineStr">
        <is>
          <t>NEW DEVELOPMENT RESULT</t>
        </is>
      </c>
      <c r="W164" s="31" t="n">
        <v>0.0011713292885091</v>
      </c>
    </row>
    <row r="165" ht="24" customHeight="1">
      <c r="A165" s="31" t="inlineStr">
        <is>
          <t>D009__TECO10__8102</t>
        </is>
      </c>
      <c r="B165" s="31" t="inlineStr">
        <is>
          <t>D009</t>
        </is>
      </c>
      <c r="C165" s="31" t="inlineStr">
        <is>
          <t>TECO10</t>
        </is>
      </c>
      <c r="D165" s="31" t="n">
        <v>8102</v>
      </c>
      <c r="E165" s="31" t="n">
        <v>654</v>
      </c>
      <c r="F165" s="33" t="n">
        <v>477.5428134556575</v>
      </c>
      <c r="G165" s="33" t="n">
        <v>1320.622106791573</v>
      </c>
      <c r="H165" s="33" t="n">
        <v>3492.47749235474</v>
      </c>
      <c r="I165" s="33" t="n">
        <v>715.7</v>
      </c>
      <c r="J165" s="33" t="n">
        <v>0.5886850152905199</v>
      </c>
      <c r="K165" s="33" t="n">
        <v>238.7777777777778</v>
      </c>
      <c r="L165" s="33" t="n">
        <v>583.9838383188488</v>
      </c>
      <c r="M165" s="33" t="n">
        <v>1089688.603271083</v>
      </c>
      <c r="N165" s="33" t="n">
        <v>171467</v>
      </c>
      <c r="O165" s="34" t="n">
        <v>0.3917599428435341</v>
      </c>
      <c r="P165" s="34" t="n">
        <v>0.2107302480759666</v>
      </c>
      <c r="Q165" s="34" t="n">
        <v>0.0312411172460848</v>
      </c>
      <c r="R165" s="31" t="n">
        <v>1200</v>
      </c>
      <c r="S165" s="31" t="n">
        <v>200</v>
      </c>
      <c r="T165" s="31" t="inlineStr">
        <is>
          <t>None</t>
        </is>
      </c>
      <c r="U165" s="31" t="inlineStr">
        <is>
          <t>Balanced</t>
        </is>
      </c>
      <c r="V165" s="31" t="inlineStr">
        <is>
          <t>NEW DEVELOPMENT RESULT</t>
        </is>
      </c>
      <c r="W165" s="31" t="n">
        <v>0.0010505061926537</v>
      </c>
    </row>
    <row r="166" ht="24" customHeight="1">
      <c r="A166" s="31" t="inlineStr">
        <is>
          <t>D009__TECO10__8103</t>
        </is>
      </c>
      <c r="B166" s="31" t="inlineStr">
        <is>
          <t>D009</t>
        </is>
      </c>
      <c r="C166" s="31" t="inlineStr">
        <is>
          <t>TECO10</t>
        </is>
      </c>
      <c r="D166" s="31" t="n">
        <v>8103</v>
      </c>
      <c r="E166" s="31" t="n">
        <v>597</v>
      </c>
      <c r="F166" s="33" t="n">
        <v>437.4572864321608</v>
      </c>
      <c r="G166" s="33" t="n">
        <v>1195.562201170054</v>
      </c>
      <c r="H166" s="33" t="n">
        <v>3538.250502512562</v>
      </c>
      <c r="I166" s="33" t="n">
        <v>650.1999999999999</v>
      </c>
      <c r="J166" s="33" t="n">
        <v>0.4304857621440536</v>
      </c>
      <c r="K166" s="33" t="n">
        <v>237.0275689223058</v>
      </c>
      <c r="L166" s="33" t="n">
        <v>579.2319598187086</v>
      </c>
      <c r="M166" s="33" t="n">
        <v>944864.1860661872</v>
      </c>
      <c r="N166" s="33" t="n">
        <v>141018</v>
      </c>
      <c r="O166" s="34" t="n">
        <v>0.3991116751269035</v>
      </c>
      <c r="P166" s="34" t="n">
        <v>0.2250943016426989</v>
      </c>
      <c r="Q166" s="34" t="n">
        <v>0.0638825231051993</v>
      </c>
      <c r="R166" s="31" t="n">
        <v>1200</v>
      </c>
      <c r="S166" s="31" t="n">
        <v>200</v>
      </c>
      <c r="T166" s="31" t="inlineStr">
        <is>
          <t>None</t>
        </is>
      </c>
      <c r="U166" s="31" t="inlineStr">
        <is>
          <t>Balanced</t>
        </is>
      </c>
      <c r="V166" s="31" t="inlineStr">
        <is>
          <t>NEW DEVELOPMENT RESULT</t>
        </is>
      </c>
      <c r="W166" s="31" t="n">
        <v>0.0011279829991453</v>
      </c>
    </row>
    <row r="167" ht="24" customHeight="1">
      <c r="A167" s="31" t="inlineStr">
        <is>
          <t>D009__TECO15__8101</t>
        </is>
      </c>
      <c r="B167" s="31" t="inlineStr">
        <is>
          <t>D009</t>
        </is>
      </c>
      <c r="C167" s="31" t="inlineStr">
        <is>
          <t>TECO15</t>
        </is>
      </c>
      <c r="D167" s="31" t="n">
        <v>8101</v>
      </c>
      <c r="E167" s="31" t="n">
        <v>611</v>
      </c>
      <c r="F167" s="33" t="n">
        <v>693.9803600654665</v>
      </c>
      <c r="G167" s="33" t="n">
        <v>1956.011235073604</v>
      </c>
      <c r="H167" s="33" t="n">
        <v>3203.72</v>
      </c>
      <c r="I167" s="33" t="n">
        <v>847</v>
      </c>
      <c r="J167" s="33" t="n">
        <v>32.88216039279869</v>
      </c>
      <c r="K167" s="33" t="n">
        <v>236.9867724867725</v>
      </c>
      <c r="L167" s="33" t="n">
        <v>578.6863631529501</v>
      </c>
      <c r="M167" s="33" t="n">
        <v>1413866.309901787</v>
      </c>
      <c r="N167" s="33" t="n">
        <v>295444</v>
      </c>
      <c r="O167" s="34" t="n">
        <v>0</v>
      </c>
      <c r="P167" s="34" t="n">
        <v>0.0405537368019663</v>
      </c>
      <c r="Q167" s="34" t="n">
        <v>-0.0309304795097078</v>
      </c>
      <c r="R167" s="31" t="n">
        <v>1200</v>
      </c>
      <c r="S167" s="31" t="n">
        <v>200</v>
      </c>
      <c r="T167" s="31" t="inlineStr">
        <is>
          <t>None</t>
        </is>
      </c>
      <c r="U167" s="31" t="inlineStr">
        <is>
          <t>Balanced</t>
        </is>
      </c>
      <c r="V167" s="31" t="inlineStr">
        <is>
          <t>NEW DEVELOPMENT RESULT</t>
        </is>
      </c>
      <c r="W167" s="31" t="n">
        <v>0.0008347135490192</v>
      </c>
    </row>
    <row r="168" ht="24" customHeight="1">
      <c r="A168" s="31" t="inlineStr">
        <is>
          <t>D009__TECO15__8102</t>
        </is>
      </c>
      <c r="B168" s="31" t="inlineStr">
        <is>
          <t>D009</t>
        </is>
      </c>
      <c r="C168" s="31" t="inlineStr">
        <is>
          <t>TECO15</t>
        </is>
      </c>
      <c r="D168" s="31" t="n">
        <v>8102</v>
      </c>
      <c r="E168" s="31" t="n">
        <v>654</v>
      </c>
      <c r="F168" s="33" t="n">
        <v>510.282874617737</v>
      </c>
      <c r="G168" s="33" t="n">
        <v>1384.990074670725</v>
      </c>
      <c r="H168" s="33" t="n">
        <v>3620.831758409785</v>
      </c>
      <c r="I168" s="33" t="n">
        <v>760.35</v>
      </c>
      <c r="J168" s="33" t="n">
        <v>0.5871559633027523</v>
      </c>
      <c r="K168" s="33" t="n">
        <v>238.7777777777778</v>
      </c>
      <c r="L168" s="33" t="n">
        <v>583.9125899543582</v>
      </c>
      <c r="M168" s="33" t="n">
        <v>1131757.681146991</v>
      </c>
      <c r="N168" s="33" t="n">
        <v>176275</v>
      </c>
      <c r="O168" s="34" t="n">
        <v>0.1615546451112833</v>
      </c>
      <c r="P168" s="34" t="n">
        <v>0.2398347764254209</v>
      </c>
      <c r="Q168" s="34" t="n">
        <v>-0.0528561111374599</v>
      </c>
      <c r="R168" s="31" t="n">
        <v>1200</v>
      </c>
      <c r="S168" s="31" t="n">
        <v>200</v>
      </c>
      <c r="T168" s="31" t="inlineStr">
        <is>
          <t>None</t>
        </is>
      </c>
      <c r="U168" s="31" t="inlineStr">
        <is>
          <t>Balanced</t>
        </is>
      </c>
      <c r="V168" s="31" t="inlineStr">
        <is>
          <t>NEW DEVELOPMENT RESULT</t>
        </is>
      </c>
      <c r="W168" s="31" t="n">
        <v>0.0010086074673445</v>
      </c>
    </row>
    <row r="169" ht="24" customHeight="1">
      <c r="A169" s="31" t="inlineStr">
        <is>
          <t>D009__TECO15__8103</t>
        </is>
      </c>
      <c r="B169" s="31" t="inlineStr">
        <is>
          <t>D009</t>
        </is>
      </c>
      <c r="C169" s="31" t="inlineStr">
        <is>
          <t>TECO15</t>
        </is>
      </c>
      <c r="D169" s="31" t="n">
        <v>8103</v>
      </c>
      <c r="E169" s="31" t="n">
        <v>597</v>
      </c>
      <c r="F169" s="33" t="n">
        <v>581.8140703517588</v>
      </c>
      <c r="G169" s="33" t="n">
        <v>1703.12466557422</v>
      </c>
      <c r="H169" s="33" t="n">
        <v>3203.72</v>
      </c>
      <c r="I169" s="33" t="n">
        <v>706.1999999999999</v>
      </c>
      <c r="J169" s="33" t="n">
        <v>0.52428810720268</v>
      </c>
      <c r="K169" s="33" t="n">
        <v>237.0275689223058</v>
      </c>
      <c r="L169" s="33" t="n">
        <v>579.2319598187086</v>
      </c>
      <c r="M169" s="33" t="n">
        <v>1247878.977315474</v>
      </c>
      <c r="N169" s="33" t="n">
        <v>238130</v>
      </c>
      <c r="O169" s="34" t="n">
        <v>0</v>
      </c>
      <c r="P169" s="34" t="n">
        <v>0.06535749501550819</v>
      </c>
      <c r="Q169" s="34" t="n">
        <v>-0.0566849351687957</v>
      </c>
      <c r="R169" s="31" t="n">
        <v>1200</v>
      </c>
      <c r="S169" s="31" t="n">
        <v>200</v>
      </c>
      <c r="T169" s="31" t="inlineStr">
        <is>
          <t>None</t>
        </is>
      </c>
      <c r="U169" s="31" t="inlineStr">
        <is>
          <t>Balanced</t>
        </is>
      </c>
      <c r="V169" s="31" t="inlineStr">
        <is>
          <t>NEW DEVELOPMENT RESULT</t>
        </is>
      </c>
      <c r="W169" s="31" t="n">
        <v>0.0009452630134992</v>
      </c>
    </row>
    <row r="170" ht="24" customHeight="1">
      <c r="A170" s="31" t="inlineStr">
        <is>
          <t>D010__SP__8101</t>
        </is>
      </c>
      <c r="B170" s="31" t="inlineStr">
        <is>
          <t>D010</t>
        </is>
      </c>
      <c r="C170" s="31" t="inlineStr">
        <is>
          <t>SP</t>
        </is>
      </c>
      <c r="D170" s="31" t="n">
        <v>8101</v>
      </c>
      <c r="E170" s="31" t="n">
        <v>611</v>
      </c>
      <c r="F170" s="33" t="n">
        <v>299.7643207855974</v>
      </c>
      <c r="G170" s="33" t="n">
        <v>797.3701565493983</v>
      </c>
      <c r="H170" s="33" t="n">
        <v>3203.72</v>
      </c>
      <c r="I170" s="33" t="n">
        <v>317</v>
      </c>
      <c r="J170" s="33" t="n">
        <v>0.3322422258592471</v>
      </c>
      <c r="K170" s="33" t="n">
        <v>246.9867724867725</v>
      </c>
      <c r="L170" s="33" t="n">
        <v>607.6499770611385</v>
      </c>
      <c r="M170" s="33" t="n">
        <v>716884.8569807928</v>
      </c>
      <c r="N170" s="33" t="n">
        <v>86065</v>
      </c>
      <c r="O170" s="34" t="n">
        <v>0</v>
      </c>
      <c r="P170" s="34" t="n">
        <v>0.0555224338877393</v>
      </c>
      <c r="Q170" s="34" t="n">
        <v>0.0152915337997039</v>
      </c>
      <c r="R170" s="31" t="n">
        <v>1200</v>
      </c>
      <c r="S170" s="31" t="n">
        <v>200</v>
      </c>
      <c r="T170" s="31" t="inlineStr">
        <is>
          <t>None</t>
        </is>
      </c>
      <c r="U170" s="31" t="inlineStr">
        <is>
          <t>Arterial</t>
        </is>
      </c>
      <c r="V170" s="31" t="inlineStr">
        <is>
          <t>NEW DEVELOPMENT RESULT</t>
        </is>
      </c>
      <c r="W170" s="31" t="n">
        <v>0.0015196726212081</v>
      </c>
    </row>
    <row r="171" ht="24" customHeight="1">
      <c r="A171" s="31" t="inlineStr">
        <is>
          <t>D010__SP__8102</t>
        </is>
      </c>
      <c r="B171" s="31" t="inlineStr">
        <is>
          <t>D010</t>
        </is>
      </c>
      <c r="C171" s="31" t="inlineStr">
        <is>
          <t>SP</t>
        </is>
      </c>
      <c r="D171" s="31" t="n">
        <v>8102</v>
      </c>
      <c r="E171" s="31" t="n">
        <v>654</v>
      </c>
      <c r="F171" s="33" t="n">
        <v>310.2324159021406</v>
      </c>
      <c r="G171" s="33" t="n">
        <v>833.6875137584362</v>
      </c>
      <c r="H171" s="33" t="n">
        <v>3203.72</v>
      </c>
      <c r="I171" s="33" t="n">
        <v>336.35</v>
      </c>
      <c r="J171" s="33" t="n">
        <v>0.6146788990825688</v>
      </c>
      <c r="K171" s="33" t="n">
        <v>249.0180878552972</v>
      </c>
      <c r="L171" s="33" t="n">
        <v>613.1871982528231</v>
      </c>
      <c r="M171" s="33" t="n">
        <v>782535.0797218598</v>
      </c>
      <c r="N171" s="33" t="n">
        <v>88726</v>
      </c>
      <c r="O171" s="34" t="n">
        <v>0</v>
      </c>
      <c r="P171" s="34" t="n">
        <v>0.0611521997474209</v>
      </c>
      <c r="Q171" s="34" t="n">
        <v>-0.0221331498644101</v>
      </c>
      <c r="R171" s="31" t="n">
        <v>1200</v>
      </c>
      <c r="S171" s="31" t="n">
        <v>200</v>
      </c>
      <c r="T171" s="31" t="inlineStr">
        <is>
          <t>None</t>
        </is>
      </c>
      <c r="U171" s="31" t="inlineStr">
        <is>
          <t>Arterial</t>
        </is>
      </c>
      <c r="V171" s="31" t="inlineStr">
        <is>
          <t>NEW DEVELOPMENT RESULT</t>
        </is>
      </c>
      <c r="W171" s="31" t="n">
        <v>0.0015117763495211</v>
      </c>
    </row>
    <row r="172" ht="24" customHeight="1">
      <c r="A172" s="31" t="inlineStr">
        <is>
          <t>D010__SP__8103</t>
        </is>
      </c>
      <c r="B172" s="31" t="inlineStr">
        <is>
          <t>D010</t>
        </is>
      </c>
      <c r="C172" s="31" t="inlineStr">
        <is>
          <t>SP</t>
        </is>
      </c>
      <c r="D172" s="31" t="n">
        <v>8103</v>
      </c>
      <c r="E172" s="31" t="n">
        <v>597</v>
      </c>
      <c r="F172" s="33" t="n">
        <v>300.214405360134</v>
      </c>
      <c r="G172" s="33" t="n">
        <v>798.5743804806762</v>
      </c>
      <c r="H172" s="33" t="n">
        <v>3203.72</v>
      </c>
      <c r="I172" s="33" t="n">
        <v>323</v>
      </c>
      <c r="J172" s="33" t="n">
        <v>0.4304857621440536</v>
      </c>
      <c r="K172" s="33" t="n">
        <v>247.0275689223058</v>
      </c>
      <c r="L172" s="33" t="n">
        <v>607.6764235974201</v>
      </c>
      <c r="M172" s="33" t="n">
        <v>719211.7981623342</v>
      </c>
      <c r="N172" s="33" t="n">
        <v>80078</v>
      </c>
      <c r="O172" s="34" t="n">
        <v>0</v>
      </c>
      <c r="P172" s="34" t="n">
        <v>0.0586650321025394</v>
      </c>
      <c r="Q172" s="34" t="n">
        <v>-0.0069894721701779</v>
      </c>
      <c r="R172" s="31" t="n">
        <v>1200</v>
      </c>
      <c r="S172" s="31" t="n">
        <v>200</v>
      </c>
      <c r="T172" s="31" t="inlineStr">
        <is>
          <t>None</t>
        </is>
      </c>
      <c r="U172" s="31" t="inlineStr">
        <is>
          <t>Arterial</t>
        </is>
      </c>
      <c r="V172" s="31" t="inlineStr">
        <is>
          <t>NEW DEVELOPMENT RESULT</t>
        </is>
      </c>
      <c r="W172" s="31" t="n">
        <v>0.0015595037650729</v>
      </c>
    </row>
    <row r="173" ht="24" customHeight="1">
      <c r="A173" s="31" t="inlineStr">
        <is>
          <t>D010__DTT__8101</t>
        </is>
      </c>
      <c r="B173" s="31" t="inlineStr">
        <is>
          <t>D010</t>
        </is>
      </c>
      <c r="C173" s="31" t="inlineStr">
        <is>
          <t>DTT</t>
        </is>
      </c>
      <c r="D173" s="31" t="n">
        <v>8101</v>
      </c>
      <c r="E173" s="31" t="n">
        <v>611</v>
      </c>
      <c r="F173" s="33" t="n">
        <v>370.9312602291326</v>
      </c>
      <c r="G173" s="33" t="n">
        <v>982.1535501561724</v>
      </c>
      <c r="H173" s="33" t="n">
        <v>3432.191653027823</v>
      </c>
      <c r="I173" s="33" t="n">
        <v>632</v>
      </c>
      <c r="J173" s="33" t="n">
        <v>0.3306055646481178</v>
      </c>
      <c r="K173" s="33" t="n">
        <v>246.9867724867725</v>
      </c>
      <c r="L173" s="33" t="n">
        <v>607.6499770611385</v>
      </c>
      <c r="M173" s="33" t="n">
        <v>829787.5104745318</v>
      </c>
      <c r="N173" s="33" t="n">
        <v>111661</v>
      </c>
      <c r="O173" s="34" t="n">
        <v>0.5171068036945492</v>
      </c>
      <c r="P173" s="34" t="n">
        <v>0.1795988087777699</v>
      </c>
      <c r="Q173" s="34" t="n">
        <v>0.0075233067648163</v>
      </c>
      <c r="R173" s="31" t="n">
        <v>1200</v>
      </c>
      <c r="S173" s="31" t="n">
        <v>200</v>
      </c>
      <c r="T173" s="31" t="inlineStr">
        <is>
          <t>None</t>
        </is>
      </c>
      <c r="U173" s="31" t="inlineStr">
        <is>
          <t>Arterial</t>
        </is>
      </c>
      <c r="V173" s="31" t="inlineStr">
        <is>
          <t>NEW DEVELOPMENT RESULT</t>
        </is>
      </c>
      <c r="W173" s="31" t="n">
        <v>0.0013252969394142</v>
      </c>
    </row>
    <row r="174" ht="24" customHeight="1">
      <c r="A174" s="31" t="inlineStr">
        <is>
          <t>D010__DTT__8102</t>
        </is>
      </c>
      <c r="B174" s="31" t="inlineStr">
        <is>
          <t>D010</t>
        </is>
      </c>
      <c r="C174" s="31" t="inlineStr">
        <is>
          <t>DTT</t>
        </is>
      </c>
      <c r="D174" s="31" t="n">
        <v>8102</v>
      </c>
      <c r="E174" s="31" t="n">
        <v>654</v>
      </c>
      <c r="F174" s="33" t="n">
        <v>364.4235474006116</v>
      </c>
      <c r="G174" s="33" t="n">
        <v>977.4701898180692</v>
      </c>
      <c r="H174" s="33" t="n">
        <v>3378.331896024465</v>
      </c>
      <c r="I174" s="33" t="n">
        <v>607.7</v>
      </c>
      <c r="J174" s="33" t="n">
        <v>0.6146788990825688</v>
      </c>
      <c r="K174" s="33" t="n">
        <v>249.0180878552972</v>
      </c>
      <c r="L174" s="33" t="n">
        <v>613.1871982528231</v>
      </c>
      <c r="M174" s="33" t="n">
        <v>876568.9498648597</v>
      </c>
      <c r="N174" s="33" t="n">
        <v>110259</v>
      </c>
      <c r="O174" s="34" t="n">
        <v>0.4344818913480885</v>
      </c>
      <c r="P174" s="34" t="n">
        <v>0.188336150178856</v>
      </c>
      <c r="Q174" s="34" t="n">
        <v>0.0054678595302152</v>
      </c>
      <c r="R174" s="31" t="n">
        <v>1200</v>
      </c>
      <c r="S174" s="31" t="n">
        <v>200</v>
      </c>
      <c r="T174" s="31" t="inlineStr">
        <is>
          <t>None</t>
        </is>
      </c>
      <c r="U174" s="31" t="inlineStr">
        <is>
          <t>Arterial</t>
        </is>
      </c>
      <c r="V174" s="31" t="inlineStr">
        <is>
          <t>NEW DEVELOPMENT RESULT</t>
        </is>
      </c>
      <c r="W174" s="31" t="n">
        <v>0.001340099642715</v>
      </c>
    </row>
    <row r="175" ht="24" customHeight="1">
      <c r="A175" s="31" t="inlineStr">
        <is>
          <t>D010__DTT__8103</t>
        </is>
      </c>
      <c r="B175" s="31" t="inlineStr">
        <is>
          <t>D010</t>
        </is>
      </c>
      <c r="C175" s="31" t="inlineStr">
        <is>
          <t>DTT</t>
        </is>
      </c>
      <c r="D175" s="31" t="n">
        <v>8103</v>
      </c>
      <c r="E175" s="31" t="n">
        <v>597</v>
      </c>
      <c r="F175" s="33" t="n">
        <v>368.9480737018425</v>
      </c>
      <c r="G175" s="33" t="n">
        <v>980.0990601322968</v>
      </c>
      <c r="H175" s="33" t="n">
        <v>3404.50149078727</v>
      </c>
      <c r="I175" s="33" t="n">
        <v>649.1999999999999</v>
      </c>
      <c r="J175" s="33" t="n">
        <v>0.4304857621440536</v>
      </c>
      <c r="K175" s="33" t="n">
        <v>247.0275689223058</v>
      </c>
      <c r="L175" s="33" t="n">
        <v>607.6764235974201</v>
      </c>
      <c r="M175" s="33" t="n">
        <v>827582.0319143519</v>
      </c>
      <c r="N175" s="33" t="n">
        <v>105989</v>
      </c>
      <c r="O175" s="34" t="n">
        <v>0.4494565217391304</v>
      </c>
      <c r="P175" s="34" t="n">
        <v>0.210226646717303</v>
      </c>
      <c r="Q175" s="34" t="n">
        <v>0.0010735157434337</v>
      </c>
      <c r="R175" s="31" t="n">
        <v>1200</v>
      </c>
      <c r="S175" s="31" t="n">
        <v>200</v>
      </c>
      <c r="T175" s="31" t="inlineStr">
        <is>
          <t>None</t>
        </is>
      </c>
      <c r="U175" s="31" t="inlineStr">
        <is>
          <t>Arterial</t>
        </is>
      </c>
      <c r="V175" s="31" t="inlineStr">
        <is>
          <t>NEW DEVELOPMENT RESULT</t>
        </is>
      </c>
      <c r="W175" s="31" t="n">
        <v>0.0013505471282562</v>
      </c>
    </row>
    <row r="176" ht="24" customHeight="1">
      <c r="A176" s="31" t="inlineStr">
        <is>
          <t>D010__ECO__8101</t>
        </is>
      </c>
      <c r="B176" s="31" t="inlineStr">
        <is>
          <t>D010</t>
        </is>
      </c>
      <c r="C176" s="31" t="inlineStr">
        <is>
          <t>ECO</t>
        </is>
      </c>
      <c r="D176" s="31" t="n">
        <v>8101</v>
      </c>
      <c r="E176" s="31" t="n">
        <v>611</v>
      </c>
      <c r="F176" s="33" t="n">
        <v>299.7643207855974</v>
      </c>
      <c r="G176" s="33" t="n">
        <v>797.3701565493983</v>
      </c>
      <c r="H176" s="33" t="n">
        <v>3203.72</v>
      </c>
      <c r="I176" s="33" t="n">
        <v>317</v>
      </c>
      <c r="J176" s="33" t="n">
        <v>0.3322422258592471</v>
      </c>
      <c r="K176" s="33" t="n">
        <v>246.9867724867725</v>
      </c>
      <c r="L176" s="33" t="n">
        <v>607.6499770611385</v>
      </c>
      <c r="M176" s="33" t="n">
        <v>716884.8569807928</v>
      </c>
      <c r="N176" s="33" t="n">
        <v>86065</v>
      </c>
      <c r="O176" s="34" t="n">
        <v>0</v>
      </c>
      <c r="P176" s="34" t="n">
        <v>0.0555224338877393</v>
      </c>
      <c r="Q176" s="34" t="n">
        <v>0.0152915337997039</v>
      </c>
      <c r="R176" s="31" t="n">
        <v>1200</v>
      </c>
      <c r="S176" s="31" t="n">
        <v>200</v>
      </c>
      <c r="T176" s="31" t="inlineStr">
        <is>
          <t>None</t>
        </is>
      </c>
      <c r="U176" s="31" t="inlineStr">
        <is>
          <t>Arterial</t>
        </is>
      </c>
      <c r="V176" s="31" t="inlineStr">
        <is>
          <t>NEW DEVELOPMENT RESULT</t>
        </is>
      </c>
      <c r="W176" s="31" t="n">
        <v>0.0015196726212081</v>
      </c>
    </row>
    <row r="177" ht="24" customHeight="1">
      <c r="A177" s="31" t="inlineStr">
        <is>
          <t>D010__ECO__8102</t>
        </is>
      </c>
      <c r="B177" s="31" t="inlineStr">
        <is>
          <t>D010</t>
        </is>
      </c>
      <c r="C177" s="31" t="inlineStr">
        <is>
          <t>ECO</t>
        </is>
      </c>
      <c r="D177" s="31" t="n">
        <v>8102</v>
      </c>
      <c r="E177" s="31" t="n">
        <v>654</v>
      </c>
      <c r="F177" s="33" t="n">
        <v>310.2324159021406</v>
      </c>
      <c r="G177" s="33" t="n">
        <v>833.6875137584362</v>
      </c>
      <c r="H177" s="33" t="n">
        <v>3203.72</v>
      </c>
      <c r="I177" s="33" t="n">
        <v>336.35</v>
      </c>
      <c r="J177" s="33" t="n">
        <v>0.6146788990825688</v>
      </c>
      <c r="K177" s="33" t="n">
        <v>249.0180878552972</v>
      </c>
      <c r="L177" s="33" t="n">
        <v>613.1871982528231</v>
      </c>
      <c r="M177" s="33" t="n">
        <v>782535.0797218598</v>
      </c>
      <c r="N177" s="33" t="n">
        <v>88726</v>
      </c>
      <c r="O177" s="34" t="n">
        <v>0</v>
      </c>
      <c r="P177" s="34" t="n">
        <v>0.0611521997474209</v>
      </c>
      <c r="Q177" s="34" t="n">
        <v>-0.0221331498644101</v>
      </c>
      <c r="R177" s="31" t="n">
        <v>1200</v>
      </c>
      <c r="S177" s="31" t="n">
        <v>200</v>
      </c>
      <c r="T177" s="31" t="inlineStr">
        <is>
          <t>None</t>
        </is>
      </c>
      <c r="U177" s="31" t="inlineStr">
        <is>
          <t>Arterial</t>
        </is>
      </c>
      <c r="V177" s="31" t="inlineStr">
        <is>
          <t>NEW DEVELOPMENT RESULT</t>
        </is>
      </c>
      <c r="W177" s="31" t="n">
        <v>0.0015117763495211</v>
      </c>
    </row>
    <row r="178" ht="24" customHeight="1">
      <c r="A178" s="31" t="inlineStr">
        <is>
          <t>D010__ECO__8103</t>
        </is>
      </c>
      <c r="B178" s="31" t="inlineStr">
        <is>
          <t>D010</t>
        </is>
      </c>
      <c r="C178" s="31" t="inlineStr">
        <is>
          <t>ECO</t>
        </is>
      </c>
      <c r="D178" s="31" t="n">
        <v>8103</v>
      </c>
      <c r="E178" s="31" t="n">
        <v>597</v>
      </c>
      <c r="F178" s="33" t="n">
        <v>300.214405360134</v>
      </c>
      <c r="G178" s="33" t="n">
        <v>798.5743804806762</v>
      </c>
      <c r="H178" s="33" t="n">
        <v>3203.72</v>
      </c>
      <c r="I178" s="33" t="n">
        <v>323</v>
      </c>
      <c r="J178" s="33" t="n">
        <v>0.4304857621440536</v>
      </c>
      <c r="K178" s="33" t="n">
        <v>247.0275689223058</v>
      </c>
      <c r="L178" s="33" t="n">
        <v>607.6764235974201</v>
      </c>
      <c r="M178" s="33" t="n">
        <v>719211.7981623342</v>
      </c>
      <c r="N178" s="33" t="n">
        <v>80078</v>
      </c>
      <c r="O178" s="34" t="n">
        <v>0</v>
      </c>
      <c r="P178" s="34" t="n">
        <v>0.0586650321025394</v>
      </c>
      <c r="Q178" s="34" t="n">
        <v>-0.0069894721701779</v>
      </c>
      <c r="R178" s="31" t="n">
        <v>1200</v>
      </c>
      <c r="S178" s="31" t="n">
        <v>200</v>
      </c>
      <c r="T178" s="31" t="inlineStr">
        <is>
          <t>None</t>
        </is>
      </c>
      <c r="U178" s="31" t="inlineStr">
        <is>
          <t>Arterial</t>
        </is>
      </c>
      <c r="V178" s="31" t="inlineStr">
        <is>
          <t>NEW DEVELOPMENT RESULT</t>
        </is>
      </c>
      <c r="W178" s="31" t="n">
        <v>0.0015595037650729</v>
      </c>
    </row>
    <row r="179" ht="24" customHeight="1">
      <c r="A179" s="31" t="inlineStr">
        <is>
          <t>D010__TECO05__8101</t>
        </is>
      </c>
      <c r="B179" s="31" t="inlineStr">
        <is>
          <t>D010</t>
        </is>
      </c>
      <c r="C179" s="31" t="inlineStr">
        <is>
          <t>TECO05</t>
        </is>
      </c>
      <c r="D179" s="31" t="n">
        <v>8101</v>
      </c>
      <c r="E179" s="31" t="n">
        <v>611</v>
      </c>
      <c r="F179" s="33" t="n">
        <v>319.1882160392799</v>
      </c>
      <c r="G179" s="33" t="n">
        <v>851.7847871069315</v>
      </c>
      <c r="H179" s="33" t="n">
        <v>3309.48464811784</v>
      </c>
      <c r="I179" s="33" t="n">
        <v>450</v>
      </c>
      <c r="J179" s="33" t="n">
        <v>0.3322422258592471</v>
      </c>
      <c r="K179" s="33" t="n">
        <v>246.9867724867725</v>
      </c>
      <c r="L179" s="33" t="n">
        <v>607.6499770611385</v>
      </c>
      <c r="M179" s="33" t="n">
        <v>750132.1962514456</v>
      </c>
      <c r="N179" s="33" t="n">
        <v>91723</v>
      </c>
      <c r="O179" s="34" t="n">
        <v>0.1951493060423384</v>
      </c>
      <c r="P179" s="34" t="n">
        <v>0.1217170247860904</v>
      </c>
      <c r="Q179" s="34" t="n">
        <v>0.058062574076164</v>
      </c>
      <c r="R179" s="31" t="n">
        <v>1200</v>
      </c>
      <c r="S179" s="31" t="n">
        <v>200</v>
      </c>
      <c r="T179" s="31" t="inlineStr">
        <is>
          <t>None</t>
        </is>
      </c>
      <c r="U179" s="31" t="inlineStr">
        <is>
          <t>Arterial</t>
        </is>
      </c>
      <c r="V179" s="31" t="inlineStr">
        <is>
          <t>NEW DEVELOPMENT RESULT</t>
        </is>
      </c>
      <c r="W179" s="31" t="n">
        <v>0.0014355667682332</v>
      </c>
    </row>
    <row r="180" ht="24" customHeight="1">
      <c r="A180" s="31" t="inlineStr">
        <is>
          <t>D010__TECO05__8102</t>
        </is>
      </c>
      <c r="B180" s="31" t="inlineStr">
        <is>
          <t>D010</t>
        </is>
      </c>
      <c r="C180" s="31" t="inlineStr">
        <is>
          <t>TECO05</t>
        </is>
      </c>
      <c r="D180" s="31" t="n">
        <v>8102</v>
      </c>
      <c r="E180" s="31" t="n">
        <v>654</v>
      </c>
      <c r="F180" s="33" t="n">
        <v>331.4464831804281</v>
      </c>
      <c r="G180" s="33" t="n">
        <v>887.1862476411025</v>
      </c>
      <c r="H180" s="33" t="n">
        <v>3291.033119266055</v>
      </c>
      <c r="I180" s="33" t="n">
        <v>512.35</v>
      </c>
      <c r="J180" s="33" t="n">
        <v>0.6146788990825688</v>
      </c>
      <c r="K180" s="33" t="n">
        <v>249.0180878552972</v>
      </c>
      <c r="L180" s="33" t="n">
        <v>613.1871982528231</v>
      </c>
      <c r="M180" s="33" t="n">
        <v>817523.2516811235</v>
      </c>
      <c r="N180" s="33" t="n">
        <v>95652</v>
      </c>
      <c r="O180" s="34" t="n">
        <v>0.1916183447548761</v>
      </c>
      <c r="P180" s="34" t="n">
        <v>0.1029207840703065</v>
      </c>
      <c r="Q180" s="34" t="n">
        <v>-0.0104734073552645</v>
      </c>
      <c r="R180" s="31" t="n">
        <v>1200</v>
      </c>
      <c r="S180" s="31" t="n">
        <v>200</v>
      </c>
      <c r="T180" s="31" t="inlineStr">
        <is>
          <t>None</t>
        </is>
      </c>
      <c r="U180" s="31" t="inlineStr">
        <is>
          <t>Arterial</t>
        </is>
      </c>
      <c r="V180" s="31" t="inlineStr">
        <is>
          <t>NEW DEVELOPMENT RESULT</t>
        </is>
      </c>
      <c r="W180" s="31" t="n">
        <v>0.0014428942695346</v>
      </c>
    </row>
    <row r="181" ht="24" customHeight="1">
      <c r="A181" s="31" t="inlineStr">
        <is>
          <t>D010__TECO05__8103</t>
        </is>
      </c>
      <c r="B181" s="31" t="inlineStr">
        <is>
          <t>D010</t>
        </is>
      </c>
      <c r="C181" s="31" t="inlineStr">
        <is>
          <t>TECO05</t>
        </is>
      </c>
      <c r="D181" s="31" t="n">
        <v>8103</v>
      </c>
      <c r="E181" s="31" t="n">
        <v>597</v>
      </c>
      <c r="F181" s="33" t="n">
        <v>313.4137353433836</v>
      </c>
      <c r="G181" s="33" t="n">
        <v>835.2852588380902</v>
      </c>
      <c r="H181" s="33" t="n">
        <v>3283.590016750419</v>
      </c>
      <c r="I181" s="33" t="n">
        <v>428.1999999999996</v>
      </c>
      <c r="J181" s="33" t="n">
        <v>0.4304857621440536</v>
      </c>
      <c r="K181" s="33" t="n">
        <v>247.0275689223058</v>
      </c>
      <c r="L181" s="33" t="n">
        <v>607.6764235974201</v>
      </c>
      <c r="M181" s="33" t="n">
        <v>741128.1925417105</v>
      </c>
      <c r="N181" s="33" t="n">
        <v>83681</v>
      </c>
      <c r="O181" s="34" t="n">
        <v>0.1526706447387571</v>
      </c>
      <c r="P181" s="34" t="n">
        <v>0.1119001598078019</v>
      </c>
      <c r="Q181" s="34" t="n">
        <v>0.0169960081526488</v>
      </c>
      <c r="R181" s="31" t="n">
        <v>1200</v>
      </c>
      <c r="S181" s="31" t="n">
        <v>200</v>
      </c>
      <c r="T181" s="31" t="inlineStr">
        <is>
          <t>None</t>
        </is>
      </c>
      <c r="U181" s="31" t="inlineStr">
        <is>
          <t>Arterial</t>
        </is>
      </c>
      <c r="V181" s="31" t="inlineStr">
        <is>
          <t>NEW DEVELOPMENT RESULT</t>
        </is>
      </c>
      <c r="W181" s="31" t="n">
        <v>0.0014944611954078</v>
      </c>
    </row>
    <row r="182" ht="24" customHeight="1">
      <c r="A182" s="31" t="inlineStr">
        <is>
          <t>D010__TECO10__8101</t>
        </is>
      </c>
      <c r="B182" s="31" t="inlineStr">
        <is>
          <t>D010</t>
        </is>
      </c>
      <c r="C182" s="31" t="inlineStr">
        <is>
          <t>TECO10</t>
        </is>
      </c>
      <c r="D182" s="31" t="n">
        <v>8101</v>
      </c>
      <c r="E182" s="31" t="n">
        <v>611</v>
      </c>
      <c r="F182" s="33" t="n">
        <v>299.7643207855974</v>
      </c>
      <c r="G182" s="33" t="n">
        <v>797.3701565493983</v>
      </c>
      <c r="H182" s="33" t="n">
        <v>3203.72</v>
      </c>
      <c r="I182" s="33" t="n">
        <v>317</v>
      </c>
      <c r="J182" s="33" t="n">
        <v>0.3322422258592471</v>
      </c>
      <c r="K182" s="33" t="n">
        <v>246.9867724867725</v>
      </c>
      <c r="L182" s="33" t="n">
        <v>607.6499770611385</v>
      </c>
      <c r="M182" s="33" t="n">
        <v>716884.8569807928</v>
      </c>
      <c r="N182" s="33" t="n">
        <v>86065</v>
      </c>
      <c r="O182" s="34" t="n">
        <v>0</v>
      </c>
      <c r="P182" s="34" t="n">
        <v>0.0555224338877393</v>
      </c>
      <c r="Q182" s="34" t="n">
        <v>0.0152915337997039</v>
      </c>
      <c r="R182" s="31" t="n">
        <v>1200</v>
      </c>
      <c r="S182" s="31" t="n">
        <v>200</v>
      </c>
      <c r="T182" s="31" t="inlineStr">
        <is>
          <t>None</t>
        </is>
      </c>
      <c r="U182" s="31" t="inlineStr">
        <is>
          <t>Arterial</t>
        </is>
      </c>
      <c r="V182" s="31" t="inlineStr">
        <is>
          <t>NEW DEVELOPMENT RESULT</t>
        </is>
      </c>
      <c r="W182" s="31" t="n">
        <v>0.0015196726212081</v>
      </c>
    </row>
    <row r="183" ht="24" customHeight="1">
      <c r="A183" s="31" t="inlineStr">
        <is>
          <t>D010__TECO10__8102</t>
        </is>
      </c>
      <c r="B183" s="31" t="inlineStr">
        <is>
          <t>D010</t>
        </is>
      </c>
      <c r="C183" s="31" t="inlineStr">
        <is>
          <t>TECO10</t>
        </is>
      </c>
      <c r="D183" s="31" t="n">
        <v>8102</v>
      </c>
      <c r="E183" s="31" t="n">
        <v>654</v>
      </c>
      <c r="F183" s="33" t="n">
        <v>310.2324159021406</v>
      </c>
      <c r="G183" s="33" t="n">
        <v>833.6875137584362</v>
      </c>
      <c r="H183" s="33" t="n">
        <v>3203.72</v>
      </c>
      <c r="I183" s="33" t="n">
        <v>336.35</v>
      </c>
      <c r="J183" s="33" t="n">
        <v>0.6146788990825688</v>
      </c>
      <c r="K183" s="33" t="n">
        <v>249.0180878552972</v>
      </c>
      <c r="L183" s="33" t="n">
        <v>613.1871982528231</v>
      </c>
      <c r="M183" s="33" t="n">
        <v>782535.0797218598</v>
      </c>
      <c r="N183" s="33" t="n">
        <v>88726</v>
      </c>
      <c r="O183" s="34" t="n">
        <v>0</v>
      </c>
      <c r="P183" s="34" t="n">
        <v>0.0611521997474209</v>
      </c>
      <c r="Q183" s="34" t="n">
        <v>-0.0221331498644101</v>
      </c>
      <c r="R183" s="31" t="n">
        <v>1200</v>
      </c>
      <c r="S183" s="31" t="n">
        <v>200</v>
      </c>
      <c r="T183" s="31" t="inlineStr">
        <is>
          <t>None</t>
        </is>
      </c>
      <c r="U183" s="31" t="inlineStr">
        <is>
          <t>Arterial</t>
        </is>
      </c>
      <c r="V183" s="31" t="inlineStr">
        <is>
          <t>NEW DEVELOPMENT RESULT</t>
        </is>
      </c>
      <c r="W183" s="31" t="n">
        <v>0.0015117763495211</v>
      </c>
    </row>
    <row r="184" ht="24" customHeight="1">
      <c r="A184" s="31" t="inlineStr">
        <is>
          <t>D010__TECO10__8103</t>
        </is>
      </c>
      <c r="B184" s="31" t="inlineStr">
        <is>
          <t>D010</t>
        </is>
      </c>
      <c r="C184" s="31" t="inlineStr">
        <is>
          <t>TECO10</t>
        </is>
      </c>
      <c r="D184" s="31" t="n">
        <v>8103</v>
      </c>
      <c r="E184" s="31" t="n">
        <v>597</v>
      </c>
      <c r="F184" s="33" t="n">
        <v>300.214405360134</v>
      </c>
      <c r="G184" s="33" t="n">
        <v>798.5743804806762</v>
      </c>
      <c r="H184" s="33" t="n">
        <v>3203.72</v>
      </c>
      <c r="I184" s="33" t="n">
        <v>323</v>
      </c>
      <c r="J184" s="33" t="n">
        <v>0.4304857621440536</v>
      </c>
      <c r="K184" s="33" t="n">
        <v>247.0275689223058</v>
      </c>
      <c r="L184" s="33" t="n">
        <v>607.6764235974201</v>
      </c>
      <c r="M184" s="33" t="n">
        <v>719211.7981623342</v>
      </c>
      <c r="N184" s="33" t="n">
        <v>80078</v>
      </c>
      <c r="O184" s="34" t="n">
        <v>0</v>
      </c>
      <c r="P184" s="34" t="n">
        <v>0.0586650321025394</v>
      </c>
      <c r="Q184" s="34" t="n">
        <v>-0.0069894721701779</v>
      </c>
      <c r="R184" s="31" t="n">
        <v>1200</v>
      </c>
      <c r="S184" s="31" t="n">
        <v>200</v>
      </c>
      <c r="T184" s="31" t="inlineStr">
        <is>
          <t>None</t>
        </is>
      </c>
      <c r="U184" s="31" t="inlineStr">
        <is>
          <t>Arterial</t>
        </is>
      </c>
      <c r="V184" s="31" t="inlineStr">
        <is>
          <t>NEW DEVELOPMENT RESULT</t>
        </is>
      </c>
      <c r="W184" s="31" t="n">
        <v>0.0015595037650729</v>
      </c>
    </row>
    <row r="185" ht="24" customHeight="1">
      <c r="A185" s="31" t="inlineStr">
        <is>
          <t>D010__TECO15__8101</t>
        </is>
      </c>
      <c r="B185" s="31" t="inlineStr">
        <is>
          <t>D010</t>
        </is>
      </c>
      <c r="C185" s="31" t="inlineStr">
        <is>
          <t>TECO15</t>
        </is>
      </c>
      <c r="D185" s="31" t="n">
        <v>8101</v>
      </c>
      <c r="E185" s="31" t="n">
        <v>611</v>
      </c>
      <c r="F185" s="33" t="n">
        <v>299.7643207855974</v>
      </c>
      <c r="G185" s="33" t="n">
        <v>797.3701565493983</v>
      </c>
      <c r="H185" s="33" t="n">
        <v>3203.72</v>
      </c>
      <c r="I185" s="33" t="n">
        <v>317</v>
      </c>
      <c r="J185" s="33" t="n">
        <v>0.3322422258592471</v>
      </c>
      <c r="K185" s="33" t="n">
        <v>246.9867724867725</v>
      </c>
      <c r="L185" s="33" t="n">
        <v>607.6499770611385</v>
      </c>
      <c r="M185" s="33" t="n">
        <v>716884.8569807928</v>
      </c>
      <c r="N185" s="33" t="n">
        <v>86065</v>
      </c>
      <c r="O185" s="34" t="n">
        <v>0</v>
      </c>
      <c r="P185" s="34" t="n">
        <v>0.0555224338877393</v>
      </c>
      <c r="Q185" s="34" t="n">
        <v>0.0152915337997039</v>
      </c>
      <c r="R185" s="31" t="n">
        <v>1200</v>
      </c>
      <c r="S185" s="31" t="n">
        <v>200</v>
      </c>
      <c r="T185" s="31" t="inlineStr">
        <is>
          <t>None</t>
        </is>
      </c>
      <c r="U185" s="31" t="inlineStr">
        <is>
          <t>Arterial</t>
        </is>
      </c>
      <c r="V185" s="31" t="inlineStr">
        <is>
          <t>NEW DEVELOPMENT RESULT</t>
        </is>
      </c>
      <c r="W185" s="31" t="n">
        <v>0.0015196726212081</v>
      </c>
    </row>
    <row r="186" ht="24" customHeight="1">
      <c r="A186" s="31" t="inlineStr">
        <is>
          <t>D010__TECO15__8102</t>
        </is>
      </c>
      <c r="B186" s="31" t="inlineStr">
        <is>
          <t>D010</t>
        </is>
      </c>
      <c r="C186" s="31" t="inlineStr">
        <is>
          <t>TECO15</t>
        </is>
      </c>
      <c r="D186" s="31" t="n">
        <v>8102</v>
      </c>
      <c r="E186" s="31" t="n">
        <v>654</v>
      </c>
      <c r="F186" s="33" t="n">
        <v>310.2324159021406</v>
      </c>
      <c r="G186" s="33" t="n">
        <v>833.6875137584362</v>
      </c>
      <c r="H186" s="33" t="n">
        <v>3203.72</v>
      </c>
      <c r="I186" s="33" t="n">
        <v>336.35</v>
      </c>
      <c r="J186" s="33" t="n">
        <v>0.6146788990825688</v>
      </c>
      <c r="K186" s="33" t="n">
        <v>249.0180878552972</v>
      </c>
      <c r="L186" s="33" t="n">
        <v>613.1871982528231</v>
      </c>
      <c r="M186" s="33" t="n">
        <v>782535.0797218598</v>
      </c>
      <c r="N186" s="33" t="n">
        <v>88726</v>
      </c>
      <c r="O186" s="34" t="n">
        <v>0</v>
      </c>
      <c r="P186" s="34" t="n">
        <v>0.0611521997474209</v>
      </c>
      <c r="Q186" s="34" t="n">
        <v>-0.0221331498644101</v>
      </c>
      <c r="R186" s="31" t="n">
        <v>1200</v>
      </c>
      <c r="S186" s="31" t="n">
        <v>200</v>
      </c>
      <c r="T186" s="31" t="inlineStr">
        <is>
          <t>None</t>
        </is>
      </c>
      <c r="U186" s="31" t="inlineStr">
        <is>
          <t>Arterial</t>
        </is>
      </c>
      <c r="V186" s="31" t="inlineStr">
        <is>
          <t>NEW DEVELOPMENT RESULT</t>
        </is>
      </c>
      <c r="W186" s="31" t="n">
        <v>0.0015117763495211</v>
      </c>
    </row>
    <row r="187" ht="24" customHeight="1">
      <c r="A187" s="31" t="inlineStr">
        <is>
          <t>D010__TECO15__8103</t>
        </is>
      </c>
      <c r="B187" s="31" t="inlineStr">
        <is>
          <t>D010</t>
        </is>
      </c>
      <c r="C187" s="31" t="inlineStr">
        <is>
          <t>TECO15</t>
        </is>
      </c>
      <c r="D187" s="31" t="n">
        <v>8103</v>
      </c>
      <c r="E187" s="31" t="n">
        <v>597</v>
      </c>
      <c r="F187" s="33" t="n">
        <v>300.214405360134</v>
      </c>
      <c r="G187" s="33" t="n">
        <v>798.5743804806762</v>
      </c>
      <c r="H187" s="33" t="n">
        <v>3203.72</v>
      </c>
      <c r="I187" s="33" t="n">
        <v>323</v>
      </c>
      <c r="J187" s="33" t="n">
        <v>0.4304857621440536</v>
      </c>
      <c r="K187" s="33" t="n">
        <v>247.0275689223058</v>
      </c>
      <c r="L187" s="33" t="n">
        <v>607.6764235974201</v>
      </c>
      <c r="M187" s="33" t="n">
        <v>719211.7981623342</v>
      </c>
      <c r="N187" s="33" t="n">
        <v>80078</v>
      </c>
      <c r="O187" s="34" t="n">
        <v>0</v>
      </c>
      <c r="P187" s="34" t="n">
        <v>0.0586650321025394</v>
      </c>
      <c r="Q187" s="34" t="n">
        <v>-0.0069894721701779</v>
      </c>
      <c r="R187" s="31" t="n">
        <v>1200</v>
      </c>
      <c r="S187" s="31" t="n">
        <v>200</v>
      </c>
      <c r="T187" s="31" t="inlineStr">
        <is>
          <t>None</t>
        </is>
      </c>
      <c r="U187" s="31" t="inlineStr">
        <is>
          <t>Arterial</t>
        </is>
      </c>
      <c r="V187" s="31" t="inlineStr">
        <is>
          <t>NEW DEVELOPMENT RESULT</t>
        </is>
      </c>
      <c r="W187" s="31" t="n">
        <v>0.0015595037650729</v>
      </c>
    </row>
    <row r="188" ht="24" customHeight="1">
      <c r="A188" s="31" t="inlineStr">
        <is>
          <t>D011__SP__8101</t>
        </is>
      </c>
      <c r="B188" s="31" t="inlineStr">
        <is>
          <t>D011</t>
        </is>
      </c>
      <c r="C188" s="31" t="inlineStr">
        <is>
          <t>SP</t>
        </is>
      </c>
      <c r="D188" s="31" t="n">
        <v>8101</v>
      </c>
      <c r="E188" s="31" t="n">
        <v>611</v>
      </c>
      <c r="F188" s="33" t="n">
        <v>693.9803600654665</v>
      </c>
      <c r="G188" s="33" t="n">
        <v>1956.011235073604</v>
      </c>
      <c r="H188" s="33" t="n">
        <v>3203.72</v>
      </c>
      <c r="I188" s="33" t="n">
        <v>847</v>
      </c>
      <c r="J188" s="33" t="n">
        <v>32.88216039279869</v>
      </c>
      <c r="K188" s="33" t="n">
        <v>236.9867724867725</v>
      </c>
      <c r="L188" s="33" t="n">
        <v>578.6863631529501</v>
      </c>
      <c r="M188" s="33" t="n">
        <v>1413866.309901787</v>
      </c>
      <c r="N188" s="33" t="n">
        <v>295444</v>
      </c>
      <c r="O188" s="34" t="n">
        <v>0</v>
      </c>
      <c r="P188" s="34" t="n">
        <v>0.0405537368019663</v>
      </c>
      <c r="Q188" s="34" t="n">
        <v>-0.0309304795097078</v>
      </c>
      <c r="R188" s="31" t="n">
        <v>1200</v>
      </c>
      <c r="S188" s="31" t="n">
        <v>200</v>
      </c>
      <c r="T188" s="31" t="inlineStr">
        <is>
          <t>U</t>
        </is>
      </c>
      <c r="U188" s="31" t="inlineStr">
        <is>
          <t>Balanced</t>
        </is>
      </c>
      <c r="V188" s="31" t="inlineStr">
        <is>
          <t>NEW DEVELOPMENT RESULT</t>
        </is>
      </c>
      <c r="W188" s="31" t="n">
        <v>0.0008347135490192</v>
      </c>
    </row>
    <row r="189" ht="24" customHeight="1">
      <c r="A189" s="31" t="inlineStr">
        <is>
          <t>D011__SP__8102</t>
        </is>
      </c>
      <c r="B189" s="31" t="inlineStr">
        <is>
          <t>D011</t>
        </is>
      </c>
      <c r="C189" s="31" t="inlineStr">
        <is>
          <t>SP</t>
        </is>
      </c>
      <c r="D189" s="31" t="n">
        <v>8102</v>
      </c>
      <c r="E189" s="31" t="n">
        <v>654</v>
      </c>
      <c r="F189" s="33" t="n">
        <v>648.5045871559633</v>
      </c>
      <c r="G189" s="33" t="n">
        <v>1832.72074825944</v>
      </c>
      <c r="H189" s="33" t="n">
        <v>3203.72</v>
      </c>
      <c r="I189" s="33" t="n">
        <v>886.0500000000001</v>
      </c>
      <c r="J189" s="33" t="n">
        <v>26.92201834862385</v>
      </c>
      <c r="K189" s="33" t="n">
        <v>238.7777777777778</v>
      </c>
      <c r="L189" s="33" t="n">
        <v>583.9838383188488</v>
      </c>
      <c r="M189" s="33" t="n">
        <v>1424601.114791068</v>
      </c>
      <c r="N189" s="33" t="n">
        <v>274268</v>
      </c>
      <c r="O189" s="34" t="n">
        <v>0</v>
      </c>
      <c r="P189" s="34" t="n">
        <v>0.065358043871369</v>
      </c>
      <c r="Q189" s="34" t="n">
        <v>-0.0581286491197569</v>
      </c>
      <c r="R189" s="31" t="n">
        <v>1200</v>
      </c>
      <c r="S189" s="31" t="n">
        <v>200</v>
      </c>
      <c r="T189" s="31" t="inlineStr">
        <is>
          <t>U</t>
        </is>
      </c>
      <c r="U189" s="31" t="inlineStr">
        <is>
          <t>Balanced</t>
        </is>
      </c>
      <c r="V189" s="31" t="inlineStr">
        <is>
          <t>NEW DEVELOPMENT RESULT</t>
        </is>
      </c>
      <c r="W189" s="31" t="n">
        <v>0.0008827030012748</v>
      </c>
    </row>
    <row r="190" ht="24" customHeight="1">
      <c r="A190" s="31" t="inlineStr">
        <is>
          <t>D011__SP__8103</t>
        </is>
      </c>
      <c r="B190" s="31" t="inlineStr">
        <is>
          <t>D011</t>
        </is>
      </c>
      <c r="C190" s="31" t="inlineStr">
        <is>
          <t>SP</t>
        </is>
      </c>
      <c r="D190" s="31" t="n">
        <v>8103</v>
      </c>
      <c r="E190" s="31" t="n">
        <v>597</v>
      </c>
      <c r="F190" s="33" t="n">
        <v>581.8140703517588</v>
      </c>
      <c r="G190" s="33" t="n">
        <v>1703.12466557422</v>
      </c>
      <c r="H190" s="33" t="n">
        <v>3203.72</v>
      </c>
      <c r="I190" s="33" t="n">
        <v>706.1999999999999</v>
      </c>
      <c r="J190" s="33" t="n">
        <v>0.52428810720268</v>
      </c>
      <c r="K190" s="33" t="n">
        <v>237.0275689223058</v>
      </c>
      <c r="L190" s="33" t="n">
        <v>579.2319598187086</v>
      </c>
      <c r="M190" s="33" t="n">
        <v>1247878.977315474</v>
      </c>
      <c r="N190" s="33" t="n">
        <v>238130</v>
      </c>
      <c r="O190" s="34" t="n">
        <v>0</v>
      </c>
      <c r="P190" s="34" t="n">
        <v>0.06535749501550819</v>
      </c>
      <c r="Q190" s="34" t="n">
        <v>-0.0566849351687957</v>
      </c>
      <c r="R190" s="31" t="n">
        <v>1200</v>
      </c>
      <c r="S190" s="31" t="n">
        <v>200</v>
      </c>
      <c r="T190" s="31" t="inlineStr">
        <is>
          <t>U</t>
        </is>
      </c>
      <c r="U190" s="31" t="inlineStr">
        <is>
          <t>Balanced</t>
        </is>
      </c>
      <c r="V190" s="31" t="inlineStr">
        <is>
          <t>NEW DEVELOPMENT RESULT</t>
        </is>
      </c>
      <c r="W190" s="31" t="n">
        <v>0.0009452630134992</v>
      </c>
    </row>
    <row r="191" ht="24" customHeight="1">
      <c r="A191" s="31" t="inlineStr">
        <is>
          <t>D011__DTT__8101</t>
        </is>
      </c>
      <c r="B191" s="31" t="inlineStr">
        <is>
          <t>D011</t>
        </is>
      </c>
      <c r="C191" s="31" t="inlineStr">
        <is>
          <t>DTT</t>
        </is>
      </c>
      <c r="D191" s="31" t="n">
        <v>8101</v>
      </c>
      <c r="E191" s="31" t="n">
        <v>611</v>
      </c>
      <c r="F191" s="33" t="n">
        <v>422.2635024549918</v>
      </c>
      <c r="G191" s="33" t="n">
        <v>1130.308774560164</v>
      </c>
      <c r="H191" s="33" t="n">
        <v>3608.932209492635</v>
      </c>
      <c r="I191" s="33" t="n">
        <v>566.5</v>
      </c>
      <c r="J191" s="33" t="n">
        <v>0.3322422258592471</v>
      </c>
      <c r="K191" s="33" t="n">
        <v>236.9867724867725</v>
      </c>
      <c r="L191" s="33" t="n">
        <v>578.6863631529501</v>
      </c>
      <c r="M191" s="33" t="n">
        <v>909362.1065280754</v>
      </c>
      <c r="N191" s="33" t="n">
        <v>140801</v>
      </c>
      <c r="O191" s="34" t="n">
        <v>0.586553231714522</v>
      </c>
      <c r="P191" s="34" t="n">
        <v>0.2348546972627122</v>
      </c>
      <c r="Q191" s="34" t="n">
        <v>0.1481644729021506</v>
      </c>
      <c r="R191" s="31" t="n">
        <v>1200</v>
      </c>
      <c r="S191" s="31" t="n">
        <v>200</v>
      </c>
      <c r="T191" s="31" t="inlineStr">
        <is>
          <t>U</t>
        </is>
      </c>
      <c r="U191" s="31" t="inlineStr">
        <is>
          <t>Balanced</t>
        </is>
      </c>
      <c r="V191" s="31" t="inlineStr">
        <is>
          <t>NEW DEVELOPMENT RESULT</t>
        </is>
      </c>
      <c r="W191" s="31" t="n">
        <v>0.0011528589930681</v>
      </c>
    </row>
    <row r="192" ht="24" customHeight="1">
      <c r="A192" s="31" t="inlineStr">
        <is>
          <t>D011__DTT__8102</t>
        </is>
      </c>
      <c r="B192" s="31" t="inlineStr">
        <is>
          <t>D011</t>
        </is>
      </c>
      <c r="C192" s="31" t="inlineStr">
        <is>
          <t>DTT</t>
        </is>
      </c>
      <c r="D192" s="31" t="n">
        <v>8102</v>
      </c>
      <c r="E192" s="31" t="n">
        <v>654</v>
      </c>
      <c r="F192" s="33" t="n">
        <v>471.9984709480123</v>
      </c>
      <c r="G192" s="33" t="n">
        <v>1286.25406350803</v>
      </c>
      <c r="H192" s="33" t="n">
        <v>3557.64123853211</v>
      </c>
      <c r="I192" s="33" t="n">
        <v>674.35</v>
      </c>
      <c r="J192" s="33" t="n">
        <v>0.6100917431192661</v>
      </c>
      <c r="K192" s="33" t="n">
        <v>238.7777777777778</v>
      </c>
      <c r="L192" s="33" t="n">
        <v>583.9838383188488</v>
      </c>
      <c r="M192" s="33" t="n">
        <v>1067211.902963646</v>
      </c>
      <c r="N192" s="33" t="n">
        <v>160710</v>
      </c>
      <c r="O192" s="34" t="n">
        <v>0.5853575867133657</v>
      </c>
      <c r="P192" s="34" t="n">
        <v>0.2259126002652754</v>
      </c>
      <c r="Q192" s="34" t="n">
        <v>0.0297260385905007</v>
      </c>
      <c r="R192" s="31" t="n">
        <v>1200</v>
      </c>
      <c r="S192" s="31" t="n">
        <v>200</v>
      </c>
      <c r="T192" s="31" t="inlineStr">
        <is>
          <t>U</t>
        </is>
      </c>
      <c r="U192" s="31" t="inlineStr">
        <is>
          <t>Balanced</t>
        </is>
      </c>
      <c r="V192" s="31" t="inlineStr">
        <is>
          <t>NEW DEVELOPMENT RESULT</t>
        </is>
      </c>
      <c r="W192" s="31" t="n">
        <v>0.0011067059877111</v>
      </c>
    </row>
    <row r="193" ht="24" customHeight="1">
      <c r="A193" s="31" t="inlineStr">
        <is>
          <t>D011__DTT__8103</t>
        </is>
      </c>
      <c r="B193" s="31" t="inlineStr">
        <is>
          <t>D011</t>
        </is>
      </c>
      <c r="C193" s="31" t="inlineStr">
        <is>
          <t>DTT</t>
        </is>
      </c>
      <c r="D193" s="31" t="n">
        <v>8103</v>
      </c>
      <c r="E193" s="31" t="n">
        <v>597</v>
      </c>
      <c r="F193" s="33" t="n">
        <v>429.2311557788945</v>
      </c>
      <c r="G193" s="33" t="n">
        <v>1151.800862584173</v>
      </c>
      <c r="H193" s="33" t="n">
        <v>3564.901608040201</v>
      </c>
      <c r="I193" s="33" t="n">
        <v>585.1999999999999</v>
      </c>
      <c r="J193" s="33" t="n">
        <v>0.4304857621440536</v>
      </c>
      <c r="K193" s="33" t="n">
        <v>237.0275689223058</v>
      </c>
      <c r="L193" s="33" t="n">
        <v>579.2319598187086</v>
      </c>
      <c r="M193" s="33" t="n">
        <v>918738.6669304156</v>
      </c>
      <c r="N193" s="33" t="n">
        <v>132102</v>
      </c>
      <c r="O193" s="34" t="n">
        <v>0.6525455221107395</v>
      </c>
      <c r="P193" s="34" t="n">
        <v>0.232859882432886</v>
      </c>
      <c r="Q193" s="34" t="n">
        <v>0.1046465645842167</v>
      </c>
      <c r="R193" s="31" t="n">
        <v>1200</v>
      </c>
      <c r="S193" s="31" t="n">
        <v>200</v>
      </c>
      <c r="T193" s="31" t="inlineStr">
        <is>
          <t>U</t>
        </is>
      </c>
      <c r="U193" s="31" t="inlineStr">
        <is>
          <t>Balanced</t>
        </is>
      </c>
      <c r="V193" s="31" t="inlineStr">
        <is>
          <t>NEW DEVELOPMENT RESULT</t>
        </is>
      </c>
      <c r="W193" s="31" t="n">
        <v>0.0011876131875781</v>
      </c>
    </row>
    <row r="194" ht="24" customHeight="1">
      <c r="A194" s="31" t="inlineStr">
        <is>
          <t>D011__ECO__8101</t>
        </is>
      </c>
      <c r="B194" s="31" t="inlineStr">
        <is>
          <t>D011</t>
        </is>
      </c>
      <c r="C194" s="31" t="inlineStr">
        <is>
          <t>ECO</t>
        </is>
      </c>
      <c r="D194" s="31" t="n">
        <v>8101</v>
      </c>
      <c r="E194" s="31" t="n">
        <v>611</v>
      </c>
      <c r="F194" s="33" t="n">
        <v>693.9803600654665</v>
      </c>
      <c r="G194" s="33" t="n">
        <v>1956.011235073604</v>
      </c>
      <c r="H194" s="33" t="n">
        <v>3203.72</v>
      </c>
      <c r="I194" s="33" t="n">
        <v>847</v>
      </c>
      <c r="J194" s="33" t="n">
        <v>32.88216039279869</v>
      </c>
      <c r="K194" s="33" t="n">
        <v>236.9867724867725</v>
      </c>
      <c r="L194" s="33" t="n">
        <v>578.6863631529501</v>
      </c>
      <c r="M194" s="33" t="n">
        <v>1413866.309901787</v>
      </c>
      <c r="N194" s="33" t="n">
        <v>295444</v>
      </c>
      <c r="O194" s="34" t="n">
        <v>0</v>
      </c>
      <c r="P194" s="34" t="n">
        <v>0.0405537368019663</v>
      </c>
      <c r="Q194" s="34" t="n">
        <v>-0.0309304795097078</v>
      </c>
      <c r="R194" s="31" t="n">
        <v>1200</v>
      </c>
      <c r="S194" s="31" t="n">
        <v>200</v>
      </c>
      <c r="T194" s="31" t="inlineStr">
        <is>
          <t>U</t>
        </is>
      </c>
      <c r="U194" s="31" t="inlineStr">
        <is>
          <t>Balanced</t>
        </is>
      </c>
      <c r="V194" s="31" t="inlineStr">
        <is>
          <t>NEW DEVELOPMENT RESULT</t>
        </is>
      </c>
      <c r="W194" s="31" t="n">
        <v>0.0008347135490192</v>
      </c>
    </row>
    <row r="195" ht="24" customHeight="1">
      <c r="A195" s="31" t="inlineStr">
        <is>
          <t>D011__ECO__8102</t>
        </is>
      </c>
      <c r="B195" s="31" t="inlineStr">
        <is>
          <t>D011</t>
        </is>
      </c>
      <c r="C195" s="31" t="inlineStr">
        <is>
          <t>ECO</t>
        </is>
      </c>
      <c r="D195" s="31" t="n">
        <v>8102</v>
      </c>
      <c r="E195" s="31" t="n">
        <v>654</v>
      </c>
      <c r="F195" s="33" t="n">
        <v>648.5045871559633</v>
      </c>
      <c r="G195" s="33" t="n">
        <v>1832.72074825944</v>
      </c>
      <c r="H195" s="33" t="n">
        <v>3203.72</v>
      </c>
      <c r="I195" s="33" t="n">
        <v>886.0500000000001</v>
      </c>
      <c r="J195" s="33" t="n">
        <v>26.92201834862385</v>
      </c>
      <c r="K195" s="33" t="n">
        <v>238.7777777777778</v>
      </c>
      <c r="L195" s="33" t="n">
        <v>583.9838383188488</v>
      </c>
      <c r="M195" s="33" t="n">
        <v>1424601.114791068</v>
      </c>
      <c r="N195" s="33" t="n">
        <v>274268</v>
      </c>
      <c r="O195" s="34" t="n">
        <v>0</v>
      </c>
      <c r="P195" s="34" t="n">
        <v>0.065358043871369</v>
      </c>
      <c r="Q195" s="34" t="n">
        <v>-0.0581286491197569</v>
      </c>
      <c r="R195" s="31" t="n">
        <v>1200</v>
      </c>
      <c r="S195" s="31" t="n">
        <v>200</v>
      </c>
      <c r="T195" s="31" t="inlineStr">
        <is>
          <t>U</t>
        </is>
      </c>
      <c r="U195" s="31" t="inlineStr">
        <is>
          <t>Balanced</t>
        </is>
      </c>
      <c r="V195" s="31" t="inlineStr">
        <is>
          <t>NEW DEVELOPMENT RESULT</t>
        </is>
      </c>
      <c r="W195" s="31" t="n">
        <v>0.0008827030012748</v>
      </c>
    </row>
    <row r="196" ht="24" customHeight="1">
      <c r="A196" s="31" t="inlineStr">
        <is>
          <t>D011__ECO__8103</t>
        </is>
      </c>
      <c r="B196" s="31" t="inlineStr">
        <is>
          <t>D011</t>
        </is>
      </c>
      <c r="C196" s="31" t="inlineStr">
        <is>
          <t>ECO</t>
        </is>
      </c>
      <c r="D196" s="31" t="n">
        <v>8103</v>
      </c>
      <c r="E196" s="31" t="n">
        <v>597</v>
      </c>
      <c r="F196" s="33" t="n">
        <v>581.8140703517588</v>
      </c>
      <c r="G196" s="33" t="n">
        <v>1703.12466557422</v>
      </c>
      <c r="H196" s="33" t="n">
        <v>3203.72</v>
      </c>
      <c r="I196" s="33" t="n">
        <v>706.1999999999999</v>
      </c>
      <c r="J196" s="33" t="n">
        <v>0.52428810720268</v>
      </c>
      <c r="K196" s="33" t="n">
        <v>237.0275689223058</v>
      </c>
      <c r="L196" s="33" t="n">
        <v>579.2319598187086</v>
      </c>
      <c r="M196" s="33" t="n">
        <v>1247878.977315474</v>
      </c>
      <c r="N196" s="33" t="n">
        <v>238130</v>
      </c>
      <c r="O196" s="34" t="n">
        <v>0</v>
      </c>
      <c r="P196" s="34" t="n">
        <v>0.06535749501550819</v>
      </c>
      <c r="Q196" s="34" t="n">
        <v>-0.0566849351687957</v>
      </c>
      <c r="R196" s="31" t="n">
        <v>1200</v>
      </c>
      <c r="S196" s="31" t="n">
        <v>200</v>
      </c>
      <c r="T196" s="31" t="inlineStr">
        <is>
          <t>U</t>
        </is>
      </c>
      <c r="U196" s="31" t="inlineStr">
        <is>
          <t>Balanced</t>
        </is>
      </c>
      <c r="V196" s="31" t="inlineStr">
        <is>
          <t>NEW DEVELOPMENT RESULT</t>
        </is>
      </c>
      <c r="W196" s="31" t="n">
        <v>0.0009452630134992</v>
      </c>
    </row>
    <row r="197" ht="24" customHeight="1">
      <c r="A197" s="31" t="inlineStr">
        <is>
          <t>D011__TECO05__8101</t>
        </is>
      </c>
      <c r="B197" s="31" t="inlineStr">
        <is>
          <t>D011</t>
        </is>
      </c>
      <c r="C197" s="31" t="inlineStr">
        <is>
          <t>TECO05</t>
        </is>
      </c>
      <c r="D197" s="31" t="n">
        <v>8101</v>
      </c>
      <c r="E197" s="31" t="n">
        <v>611</v>
      </c>
      <c r="F197" s="33" t="n">
        <v>408.1783960720131</v>
      </c>
      <c r="G197" s="33" t="n">
        <v>1115.386380354472</v>
      </c>
      <c r="H197" s="33" t="n">
        <v>3484.824991816694</v>
      </c>
      <c r="I197" s="33" t="n">
        <v>540</v>
      </c>
      <c r="J197" s="33" t="n">
        <v>0.3289689034369885</v>
      </c>
      <c r="K197" s="33" t="n">
        <v>237.0873015873016</v>
      </c>
      <c r="L197" s="33" t="n">
        <v>578.8001888199682</v>
      </c>
      <c r="M197" s="33" t="n">
        <v>900287.5497705302</v>
      </c>
      <c r="N197" s="33" t="n">
        <v>143128</v>
      </c>
      <c r="O197" s="34" t="n">
        <v>0.4163084702907711</v>
      </c>
      <c r="P197" s="34" t="n">
        <v>0.207774683656428</v>
      </c>
      <c r="Q197" s="34" t="n">
        <v>0.0970717858939756</v>
      </c>
      <c r="R197" s="31" t="n">
        <v>1200</v>
      </c>
      <c r="S197" s="31" t="n">
        <v>200</v>
      </c>
      <c r="T197" s="31" t="inlineStr">
        <is>
          <t>U</t>
        </is>
      </c>
      <c r="U197" s="31" t="inlineStr">
        <is>
          <t>Balanced</t>
        </is>
      </c>
      <c r="V197" s="31" t="inlineStr">
        <is>
          <t>NEW DEVELOPMENT RESULT</t>
        </is>
      </c>
      <c r="W197" s="31" t="n">
        <v>0.0011521935090915</v>
      </c>
    </row>
    <row r="198" ht="24" customHeight="1">
      <c r="A198" s="31" t="inlineStr">
        <is>
          <t>D011__TECO05__8102</t>
        </is>
      </c>
      <c r="B198" s="31" t="inlineStr">
        <is>
          <t>D011</t>
        </is>
      </c>
      <c r="C198" s="31" t="inlineStr">
        <is>
          <t>TECO05</t>
        </is>
      </c>
      <c r="D198" s="31" t="n">
        <v>8102</v>
      </c>
      <c r="E198" s="31" t="n">
        <v>654</v>
      </c>
      <c r="F198" s="33" t="n">
        <v>509.9556574923548</v>
      </c>
      <c r="G198" s="33" t="n">
        <v>1389.546453551792</v>
      </c>
      <c r="H198" s="33" t="n">
        <v>3588.580963302752</v>
      </c>
      <c r="I198" s="33" t="n">
        <v>760.35</v>
      </c>
      <c r="J198" s="33" t="n">
        <v>0.6146788990825688</v>
      </c>
      <c r="K198" s="33" t="n">
        <v>238.7777777777778</v>
      </c>
      <c r="L198" s="33" t="n">
        <v>583.9838383188488</v>
      </c>
      <c r="M198" s="33" t="n">
        <v>1134765.126052267</v>
      </c>
      <c r="N198" s="33" t="n">
        <v>179255</v>
      </c>
      <c r="O198" s="34" t="n">
        <v>0.5374179917713777</v>
      </c>
      <c r="P198" s="34" t="n">
        <v>0.2317264897272162</v>
      </c>
      <c r="Q198" s="34" t="n">
        <v>-0.008428908089164</v>
      </c>
      <c r="R198" s="31" t="n">
        <v>1200</v>
      </c>
      <c r="S198" s="31" t="n">
        <v>200</v>
      </c>
      <c r="T198" s="31" t="inlineStr">
        <is>
          <t>U</t>
        </is>
      </c>
      <c r="U198" s="31" t="inlineStr">
        <is>
          <t>Balanced</t>
        </is>
      </c>
      <c r="V198" s="31" t="inlineStr">
        <is>
          <t>NEW DEVELOPMENT RESULT</t>
        </is>
      </c>
      <c r="W198" s="31" t="n">
        <v>0.001046832267505</v>
      </c>
    </row>
    <row r="199" ht="24" customHeight="1">
      <c r="A199" s="31" t="inlineStr">
        <is>
          <t>D011__TECO05__8103</t>
        </is>
      </c>
      <c r="B199" s="31" t="inlineStr">
        <is>
          <t>D011</t>
        </is>
      </c>
      <c r="C199" s="31" t="inlineStr">
        <is>
          <t>TECO05</t>
        </is>
      </c>
      <c r="D199" s="31" t="n">
        <v>8103</v>
      </c>
      <c r="E199" s="31" t="n">
        <v>597</v>
      </c>
      <c r="F199" s="33" t="n">
        <v>416.4723618090453</v>
      </c>
      <c r="G199" s="33" t="n">
        <v>1137.637180830611</v>
      </c>
      <c r="H199" s="33" t="n">
        <v>3477.698408710217</v>
      </c>
      <c r="I199" s="33" t="n">
        <v>584.1999999999996</v>
      </c>
      <c r="J199" s="33" t="n">
        <v>0.4304857621440536</v>
      </c>
      <c r="K199" s="33" t="n">
        <v>237.0275689223058</v>
      </c>
      <c r="L199" s="33" t="n">
        <v>579.2319598187086</v>
      </c>
      <c r="M199" s="33" t="n">
        <v>910282.9489235396</v>
      </c>
      <c r="N199" s="33" t="n">
        <v>133166</v>
      </c>
      <c r="O199" s="34" t="n">
        <v>0.4994782154969997</v>
      </c>
      <c r="P199" s="34" t="n">
        <v>0.2223192131032409</v>
      </c>
      <c r="Q199" s="34" t="n">
        <v>0.0732976997330287</v>
      </c>
      <c r="R199" s="31" t="n">
        <v>1200</v>
      </c>
      <c r="S199" s="31" t="n">
        <v>200</v>
      </c>
      <c r="T199" s="31" t="inlineStr">
        <is>
          <t>U</t>
        </is>
      </c>
      <c r="U199" s="31" t="inlineStr">
        <is>
          <t>Balanced</t>
        </is>
      </c>
      <c r="V199" s="31" t="inlineStr">
        <is>
          <t>NEW DEVELOPMENT RESULT</t>
        </is>
      </c>
      <c r="W199" s="31" t="n">
        <v>0.0011794107979524</v>
      </c>
    </row>
    <row r="200" ht="24" customHeight="1">
      <c r="A200" s="31" t="inlineStr">
        <is>
          <t>D011__TECO10__8101</t>
        </is>
      </c>
      <c r="B200" s="31" t="inlineStr">
        <is>
          <t>D011</t>
        </is>
      </c>
      <c r="C200" s="31" t="inlineStr">
        <is>
          <t>TECO10</t>
        </is>
      </c>
      <c r="D200" s="31" t="n">
        <v>8101</v>
      </c>
      <c r="E200" s="31" t="n">
        <v>611</v>
      </c>
      <c r="F200" s="33" t="n">
        <v>385.3387888707038</v>
      </c>
      <c r="G200" s="33" t="n">
        <v>1059.984568548924</v>
      </c>
      <c r="H200" s="33" t="n">
        <v>3437.68039279869</v>
      </c>
      <c r="I200" s="33" t="n">
        <v>461</v>
      </c>
      <c r="J200" s="33" t="n">
        <v>0.3306055646481178</v>
      </c>
      <c r="K200" s="33" t="n">
        <v>236.9867724867725</v>
      </c>
      <c r="L200" s="33" t="n">
        <v>578.6730668716593</v>
      </c>
      <c r="M200" s="33" t="n">
        <v>866388.9906608802</v>
      </c>
      <c r="N200" s="33" t="n">
        <v>136423</v>
      </c>
      <c r="O200" s="34" t="n">
        <v>0.269828825297269</v>
      </c>
      <c r="P200" s="34" t="n">
        <v>0.1667472830119356</v>
      </c>
      <c r="Q200" s="34" t="n">
        <v>0.09615335546072939</v>
      </c>
      <c r="R200" s="31" t="n">
        <v>1200</v>
      </c>
      <c r="S200" s="31" t="n">
        <v>200</v>
      </c>
      <c r="T200" s="31" t="inlineStr">
        <is>
          <t>U</t>
        </is>
      </c>
      <c r="U200" s="31" t="inlineStr">
        <is>
          <t>Balanced</t>
        </is>
      </c>
      <c r="V200" s="31" t="inlineStr">
        <is>
          <t>NEW DEVELOPMENT RESULT</t>
        </is>
      </c>
      <c r="W200" s="31" t="n">
        <v>0.0011713292885091</v>
      </c>
    </row>
    <row r="201" ht="24" customHeight="1">
      <c r="A201" s="31" t="inlineStr">
        <is>
          <t>D011__TECO10__8102</t>
        </is>
      </c>
      <c r="B201" s="31" t="inlineStr">
        <is>
          <t>D011</t>
        </is>
      </c>
      <c r="C201" s="31" t="inlineStr">
        <is>
          <t>TECO10</t>
        </is>
      </c>
      <c r="D201" s="31" t="n">
        <v>8102</v>
      </c>
      <c r="E201" s="31" t="n">
        <v>654</v>
      </c>
      <c r="F201" s="33" t="n">
        <v>477.5428134556575</v>
      </c>
      <c r="G201" s="33" t="n">
        <v>1320.622106791573</v>
      </c>
      <c r="H201" s="33" t="n">
        <v>3492.47749235474</v>
      </c>
      <c r="I201" s="33" t="n">
        <v>715.7</v>
      </c>
      <c r="J201" s="33" t="n">
        <v>0.5886850152905199</v>
      </c>
      <c r="K201" s="33" t="n">
        <v>238.7777777777778</v>
      </c>
      <c r="L201" s="33" t="n">
        <v>583.9838383188488</v>
      </c>
      <c r="M201" s="33" t="n">
        <v>1089688.603271083</v>
      </c>
      <c r="N201" s="33" t="n">
        <v>171467</v>
      </c>
      <c r="O201" s="34" t="n">
        <v>0.3917599428435341</v>
      </c>
      <c r="P201" s="34" t="n">
        <v>0.2107302480759666</v>
      </c>
      <c r="Q201" s="34" t="n">
        <v>0.0312411172460848</v>
      </c>
      <c r="R201" s="31" t="n">
        <v>1200</v>
      </c>
      <c r="S201" s="31" t="n">
        <v>200</v>
      </c>
      <c r="T201" s="31" t="inlineStr">
        <is>
          <t>U</t>
        </is>
      </c>
      <c r="U201" s="31" t="inlineStr">
        <is>
          <t>Balanced</t>
        </is>
      </c>
      <c r="V201" s="31" t="inlineStr">
        <is>
          <t>NEW DEVELOPMENT RESULT</t>
        </is>
      </c>
      <c r="W201" s="31" t="n">
        <v>0.0010505061926537</v>
      </c>
    </row>
    <row r="202" ht="24" customHeight="1">
      <c r="A202" s="31" t="inlineStr">
        <is>
          <t>D011__TECO10__8103</t>
        </is>
      </c>
      <c r="B202" s="31" t="inlineStr">
        <is>
          <t>D011</t>
        </is>
      </c>
      <c r="C202" s="31" t="inlineStr">
        <is>
          <t>TECO10</t>
        </is>
      </c>
      <c r="D202" s="31" t="n">
        <v>8103</v>
      </c>
      <c r="E202" s="31" t="n">
        <v>597</v>
      </c>
      <c r="F202" s="33" t="n">
        <v>437.4572864321608</v>
      </c>
      <c r="G202" s="33" t="n">
        <v>1195.562201170054</v>
      </c>
      <c r="H202" s="33" t="n">
        <v>3538.250502512562</v>
      </c>
      <c r="I202" s="33" t="n">
        <v>650.1999999999999</v>
      </c>
      <c r="J202" s="33" t="n">
        <v>0.4304857621440536</v>
      </c>
      <c r="K202" s="33" t="n">
        <v>237.0275689223058</v>
      </c>
      <c r="L202" s="33" t="n">
        <v>579.2319598187086</v>
      </c>
      <c r="M202" s="33" t="n">
        <v>944864.1860661872</v>
      </c>
      <c r="N202" s="33" t="n">
        <v>141018</v>
      </c>
      <c r="O202" s="34" t="n">
        <v>0.3991116751269035</v>
      </c>
      <c r="P202" s="34" t="n">
        <v>0.2250943016426989</v>
      </c>
      <c r="Q202" s="34" t="n">
        <v>0.0638825231051993</v>
      </c>
      <c r="R202" s="31" t="n">
        <v>1200</v>
      </c>
      <c r="S202" s="31" t="n">
        <v>200</v>
      </c>
      <c r="T202" s="31" t="inlineStr">
        <is>
          <t>U</t>
        </is>
      </c>
      <c r="U202" s="31" t="inlineStr">
        <is>
          <t>Balanced</t>
        </is>
      </c>
      <c r="V202" s="31" t="inlineStr">
        <is>
          <t>NEW DEVELOPMENT RESULT</t>
        </is>
      </c>
      <c r="W202" s="31" t="n">
        <v>0.0011279829991453</v>
      </c>
    </row>
    <row r="203" ht="24" customHeight="1">
      <c r="A203" s="31" t="inlineStr">
        <is>
          <t>D011__TECO15__8101</t>
        </is>
      </c>
      <c r="B203" s="31" t="inlineStr">
        <is>
          <t>D011</t>
        </is>
      </c>
      <c r="C203" s="31" t="inlineStr">
        <is>
          <t>TECO15</t>
        </is>
      </c>
      <c r="D203" s="31" t="n">
        <v>8101</v>
      </c>
      <c r="E203" s="31" t="n">
        <v>611</v>
      </c>
      <c r="F203" s="33" t="n">
        <v>693.9803600654665</v>
      </c>
      <c r="G203" s="33" t="n">
        <v>1956.011235073604</v>
      </c>
      <c r="H203" s="33" t="n">
        <v>3203.72</v>
      </c>
      <c r="I203" s="33" t="n">
        <v>847</v>
      </c>
      <c r="J203" s="33" t="n">
        <v>32.88216039279869</v>
      </c>
      <c r="K203" s="33" t="n">
        <v>236.9867724867725</v>
      </c>
      <c r="L203" s="33" t="n">
        <v>578.6863631529501</v>
      </c>
      <c r="M203" s="33" t="n">
        <v>1413866.309901787</v>
      </c>
      <c r="N203" s="33" t="n">
        <v>295444</v>
      </c>
      <c r="O203" s="34" t="n">
        <v>0</v>
      </c>
      <c r="P203" s="34" t="n">
        <v>0.0405537368019663</v>
      </c>
      <c r="Q203" s="34" t="n">
        <v>-0.0309304795097078</v>
      </c>
      <c r="R203" s="31" t="n">
        <v>1200</v>
      </c>
      <c r="S203" s="31" t="n">
        <v>200</v>
      </c>
      <c r="T203" s="31" t="inlineStr">
        <is>
          <t>U</t>
        </is>
      </c>
      <c r="U203" s="31" t="inlineStr">
        <is>
          <t>Balanced</t>
        </is>
      </c>
      <c r="V203" s="31" t="inlineStr">
        <is>
          <t>NEW DEVELOPMENT RESULT</t>
        </is>
      </c>
      <c r="W203" s="31" t="n">
        <v>0.0008347135490192</v>
      </c>
    </row>
    <row r="204" ht="24" customHeight="1">
      <c r="A204" s="31" t="inlineStr">
        <is>
          <t>D011__TECO15__8102</t>
        </is>
      </c>
      <c r="B204" s="31" t="inlineStr">
        <is>
          <t>D011</t>
        </is>
      </c>
      <c r="C204" s="31" t="inlineStr">
        <is>
          <t>TECO15</t>
        </is>
      </c>
      <c r="D204" s="31" t="n">
        <v>8102</v>
      </c>
      <c r="E204" s="31" t="n">
        <v>654</v>
      </c>
      <c r="F204" s="33" t="n">
        <v>510.282874617737</v>
      </c>
      <c r="G204" s="33" t="n">
        <v>1384.990074670725</v>
      </c>
      <c r="H204" s="33" t="n">
        <v>3620.831758409785</v>
      </c>
      <c r="I204" s="33" t="n">
        <v>760.35</v>
      </c>
      <c r="J204" s="33" t="n">
        <v>0.5871559633027523</v>
      </c>
      <c r="K204" s="33" t="n">
        <v>238.7777777777778</v>
      </c>
      <c r="L204" s="33" t="n">
        <v>583.9125899543582</v>
      </c>
      <c r="M204" s="33" t="n">
        <v>1131757.681146991</v>
      </c>
      <c r="N204" s="33" t="n">
        <v>176275</v>
      </c>
      <c r="O204" s="34" t="n">
        <v>0.1615546451112833</v>
      </c>
      <c r="P204" s="34" t="n">
        <v>0.2398347764254209</v>
      </c>
      <c r="Q204" s="34" t="n">
        <v>-0.0528561111374599</v>
      </c>
      <c r="R204" s="31" t="n">
        <v>1200</v>
      </c>
      <c r="S204" s="31" t="n">
        <v>200</v>
      </c>
      <c r="T204" s="31" t="inlineStr">
        <is>
          <t>U</t>
        </is>
      </c>
      <c r="U204" s="31" t="inlineStr">
        <is>
          <t>Balanced</t>
        </is>
      </c>
      <c r="V204" s="31" t="inlineStr">
        <is>
          <t>NEW DEVELOPMENT RESULT</t>
        </is>
      </c>
      <c r="W204" s="31" t="n">
        <v>0.0010086074673445</v>
      </c>
    </row>
    <row r="205" ht="24" customHeight="1">
      <c r="A205" s="31" t="inlineStr">
        <is>
          <t>D011__TECO15__8103</t>
        </is>
      </c>
      <c r="B205" s="31" t="inlineStr">
        <is>
          <t>D011</t>
        </is>
      </c>
      <c r="C205" s="31" t="inlineStr">
        <is>
          <t>TECO15</t>
        </is>
      </c>
      <c r="D205" s="31" t="n">
        <v>8103</v>
      </c>
      <c r="E205" s="31" t="n">
        <v>597</v>
      </c>
      <c r="F205" s="33" t="n">
        <v>581.8140703517588</v>
      </c>
      <c r="G205" s="33" t="n">
        <v>1703.12466557422</v>
      </c>
      <c r="H205" s="33" t="n">
        <v>3203.72</v>
      </c>
      <c r="I205" s="33" t="n">
        <v>706.1999999999999</v>
      </c>
      <c r="J205" s="33" t="n">
        <v>0.52428810720268</v>
      </c>
      <c r="K205" s="33" t="n">
        <v>237.0275689223058</v>
      </c>
      <c r="L205" s="33" t="n">
        <v>579.2319598187086</v>
      </c>
      <c r="M205" s="33" t="n">
        <v>1247878.977315474</v>
      </c>
      <c r="N205" s="33" t="n">
        <v>238130</v>
      </c>
      <c r="O205" s="34" t="n">
        <v>0</v>
      </c>
      <c r="P205" s="34" t="n">
        <v>0.06535749501550819</v>
      </c>
      <c r="Q205" s="34" t="n">
        <v>-0.0566849351687957</v>
      </c>
      <c r="R205" s="31" t="n">
        <v>1200</v>
      </c>
      <c r="S205" s="31" t="n">
        <v>200</v>
      </c>
      <c r="T205" s="31" t="inlineStr">
        <is>
          <t>U</t>
        </is>
      </c>
      <c r="U205" s="31" t="inlineStr">
        <is>
          <t>Balanced</t>
        </is>
      </c>
      <c r="V205" s="31" t="inlineStr">
        <is>
          <t>NEW DEVELOPMENT RESULT</t>
        </is>
      </c>
      <c r="W205" s="31" t="n">
        <v>0.0009452630134992</v>
      </c>
    </row>
    <row r="206" ht="24" customHeight="1">
      <c r="A206" s="31" t="inlineStr">
        <is>
          <t>D012__SP__8101</t>
        </is>
      </c>
      <c r="B206" s="31" t="inlineStr">
        <is>
          <t>D012</t>
        </is>
      </c>
      <c r="C206" s="31" t="inlineStr">
        <is>
          <t>SP</t>
        </is>
      </c>
      <c r="D206" s="31" t="n">
        <v>8101</v>
      </c>
      <c r="E206" s="31" t="n">
        <v>611</v>
      </c>
      <c r="F206" s="33" t="n">
        <v>299.7643207855974</v>
      </c>
      <c r="G206" s="33" t="n">
        <v>797.3701565493983</v>
      </c>
      <c r="H206" s="33" t="n">
        <v>3203.72</v>
      </c>
      <c r="I206" s="33" t="n">
        <v>317</v>
      </c>
      <c r="J206" s="33" t="n">
        <v>0.3322422258592471</v>
      </c>
      <c r="K206" s="33" t="n">
        <v>246.9867724867725</v>
      </c>
      <c r="L206" s="33" t="n">
        <v>607.6499770611385</v>
      </c>
      <c r="M206" s="33" t="n">
        <v>716884.8569807928</v>
      </c>
      <c r="N206" s="33" t="n">
        <v>86065</v>
      </c>
      <c r="O206" s="34" t="n">
        <v>0</v>
      </c>
      <c r="P206" s="34" t="n">
        <v>0.0555224338877393</v>
      </c>
      <c r="Q206" s="34" t="n">
        <v>0.0152915337997039</v>
      </c>
      <c r="R206" s="31" t="n">
        <v>1200</v>
      </c>
      <c r="S206" s="31" t="n">
        <v>200</v>
      </c>
      <c r="T206" s="31" t="inlineStr">
        <is>
          <t>U</t>
        </is>
      </c>
      <c r="U206" s="31" t="inlineStr">
        <is>
          <t>Arterial</t>
        </is>
      </c>
      <c r="V206" s="31" t="inlineStr">
        <is>
          <t>NEW DEVELOPMENT RESULT</t>
        </is>
      </c>
      <c r="W206" s="31" t="n">
        <v>0.0015196726212081</v>
      </c>
    </row>
    <row r="207" ht="24" customHeight="1">
      <c r="A207" s="31" t="inlineStr">
        <is>
          <t>D012__SP__8102</t>
        </is>
      </c>
      <c r="B207" s="31" t="inlineStr">
        <is>
          <t>D012</t>
        </is>
      </c>
      <c r="C207" s="31" t="inlineStr">
        <is>
          <t>SP</t>
        </is>
      </c>
      <c r="D207" s="31" t="n">
        <v>8102</v>
      </c>
      <c r="E207" s="31" t="n">
        <v>654</v>
      </c>
      <c r="F207" s="33" t="n">
        <v>310.2324159021406</v>
      </c>
      <c r="G207" s="33" t="n">
        <v>833.6875137584362</v>
      </c>
      <c r="H207" s="33" t="n">
        <v>3203.72</v>
      </c>
      <c r="I207" s="33" t="n">
        <v>336.35</v>
      </c>
      <c r="J207" s="33" t="n">
        <v>0.6146788990825688</v>
      </c>
      <c r="K207" s="33" t="n">
        <v>249.0180878552972</v>
      </c>
      <c r="L207" s="33" t="n">
        <v>613.1871982528231</v>
      </c>
      <c r="M207" s="33" t="n">
        <v>782535.0797218598</v>
      </c>
      <c r="N207" s="33" t="n">
        <v>88726</v>
      </c>
      <c r="O207" s="34" t="n">
        <v>0</v>
      </c>
      <c r="P207" s="34" t="n">
        <v>0.0611521997474209</v>
      </c>
      <c r="Q207" s="34" t="n">
        <v>-0.0221331498644101</v>
      </c>
      <c r="R207" s="31" t="n">
        <v>1200</v>
      </c>
      <c r="S207" s="31" t="n">
        <v>200</v>
      </c>
      <c r="T207" s="31" t="inlineStr">
        <is>
          <t>U</t>
        </is>
      </c>
      <c r="U207" s="31" t="inlineStr">
        <is>
          <t>Arterial</t>
        </is>
      </c>
      <c r="V207" s="31" t="inlineStr">
        <is>
          <t>NEW DEVELOPMENT RESULT</t>
        </is>
      </c>
      <c r="W207" s="31" t="n">
        <v>0.0015117763495211</v>
      </c>
    </row>
    <row r="208" ht="24" customHeight="1">
      <c r="A208" s="31" t="inlineStr">
        <is>
          <t>D012__SP__8103</t>
        </is>
      </c>
      <c r="B208" s="31" t="inlineStr">
        <is>
          <t>D012</t>
        </is>
      </c>
      <c r="C208" s="31" t="inlineStr">
        <is>
          <t>SP</t>
        </is>
      </c>
      <c r="D208" s="31" t="n">
        <v>8103</v>
      </c>
      <c r="E208" s="31" t="n">
        <v>597</v>
      </c>
      <c r="F208" s="33" t="n">
        <v>300.214405360134</v>
      </c>
      <c r="G208" s="33" t="n">
        <v>798.5743804806762</v>
      </c>
      <c r="H208" s="33" t="n">
        <v>3203.72</v>
      </c>
      <c r="I208" s="33" t="n">
        <v>323</v>
      </c>
      <c r="J208" s="33" t="n">
        <v>0.4304857621440536</v>
      </c>
      <c r="K208" s="33" t="n">
        <v>247.0275689223058</v>
      </c>
      <c r="L208" s="33" t="n">
        <v>607.6764235974201</v>
      </c>
      <c r="M208" s="33" t="n">
        <v>719211.7981623342</v>
      </c>
      <c r="N208" s="33" t="n">
        <v>80078</v>
      </c>
      <c r="O208" s="34" t="n">
        <v>0</v>
      </c>
      <c r="P208" s="34" t="n">
        <v>0.0586650321025394</v>
      </c>
      <c r="Q208" s="34" t="n">
        <v>-0.0069894721701779</v>
      </c>
      <c r="R208" s="31" t="n">
        <v>1200</v>
      </c>
      <c r="S208" s="31" t="n">
        <v>200</v>
      </c>
      <c r="T208" s="31" t="inlineStr">
        <is>
          <t>U</t>
        </is>
      </c>
      <c r="U208" s="31" t="inlineStr">
        <is>
          <t>Arterial</t>
        </is>
      </c>
      <c r="V208" s="31" t="inlineStr">
        <is>
          <t>NEW DEVELOPMENT RESULT</t>
        </is>
      </c>
      <c r="W208" s="31" t="n">
        <v>0.0015595037650729</v>
      </c>
    </row>
    <row r="209" ht="24" customHeight="1">
      <c r="A209" s="31" t="inlineStr">
        <is>
          <t>D012__DTT__8101</t>
        </is>
      </c>
      <c r="B209" s="31" t="inlineStr">
        <is>
          <t>D012</t>
        </is>
      </c>
      <c r="C209" s="31" t="inlineStr">
        <is>
          <t>DTT</t>
        </is>
      </c>
      <c r="D209" s="31" t="n">
        <v>8101</v>
      </c>
      <c r="E209" s="31" t="n">
        <v>611</v>
      </c>
      <c r="F209" s="33" t="n">
        <v>365.2438625204583</v>
      </c>
      <c r="G209" s="33" t="n">
        <v>977.3268282935892</v>
      </c>
      <c r="H209" s="33" t="n">
        <v>3386.497741407529</v>
      </c>
      <c r="I209" s="33" t="n">
        <v>643.5</v>
      </c>
      <c r="J209" s="33" t="n">
        <v>0.3322422258592471</v>
      </c>
      <c r="K209" s="33" t="n">
        <v>246.9867724867725</v>
      </c>
      <c r="L209" s="33" t="n">
        <v>607.6499770611385</v>
      </c>
      <c r="M209" s="33" t="n">
        <v>826838.3834164934</v>
      </c>
      <c r="N209" s="33" t="n">
        <v>113336</v>
      </c>
      <c r="O209" s="34" t="n">
        <v>0.4106013722588457</v>
      </c>
      <c r="P209" s="34" t="n">
        <v>0.2069925326434879</v>
      </c>
      <c r="Q209" s="34" t="n">
        <v>0.0038579314248743</v>
      </c>
      <c r="R209" s="31" t="n">
        <v>1200</v>
      </c>
      <c r="S209" s="31" t="n">
        <v>200</v>
      </c>
      <c r="T209" s="31" t="inlineStr">
        <is>
          <t>U</t>
        </is>
      </c>
      <c r="U209" s="31" t="inlineStr">
        <is>
          <t>Arterial</t>
        </is>
      </c>
      <c r="V209" s="31" t="inlineStr">
        <is>
          <t>NEW DEVELOPMENT RESULT</t>
        </is>
      </c>
      <c r="W209" s="31" t="n">
        <v>0.0013150471606396</v>
      </c>
    </row>
    <row r="210" ht="24" customHeight="1">
      <c r="A210" s="31" t="inlineStr">
        <is>
          <t>D012__DTT__8102</t>
        </is>
      </c>
      <c r="B210" s="31" t="inlineStr">
        <is>
          <t>D012</t>
        </is>
      </c>
      <c r="C210" s="31" t="inlineStr">
        <is>
          <t>DTT</t>
        </is>
      </c>
      <c r="D210" s="31" t="n">
        <v>8102</v>
      </c>
      <c r="E210" s="31" t="n">
        <v>654</v>
      </c>
      <c r="F210" s="33" t="n">
        <v>376.5764525993884</v>
      </c>
      <c r="G210" s="33" t="n">
        <v>1004.251684536859</v>
      </c>
      <c r="H210" s="33" t="n">
        <v>3399.364403669725</v>
      </c>
      <c r="I210" s="33" t="n">
        <v>710.35</v>
      </c>
      <c r="J210" s="33" t="n">
        <v>0.6100917431192661</v>
      </c>
      <c r="K210" s="33" t="n">
        <v>249.0180878552972</v>
      </c>
      <c r="L210" s="33" t="n">
        <v>613.1871982528231</v>
      </c>
      <c r="M210" s="33" t="n">
        <v>894084.0474109486</v>
      </c>
      <c r="N210" s="33" t="n">
        <v>115853</v>
      </c>
      <c r="O210" s="34" t="n">
        <v>0.392066650087043</v>
      </c>
      <c r="P210" s="34" t="n">
        <v>0.212579350352748</v>
      </c>
      <c r="Q210" s="34" t="n">
        <v>-0.0110516036506632</v>
      </c>
      <c r="R210" s="31" t="n">
        <v>1200</v>
      </c>
      <c r="S210" s="31" t="n">
        <v>200</v>
      </c>
      <c r="T210" s="31" t="inlineStr">
        <is>
          <t>U</t>
        </is>
      </c>
      <c r="U210" s="31" t="inlineStr">
        <is>
          <t>Arterial</t>
        </is>
      </c>
      <c r="V210" s="31" t="inlineStr">
        <is>
          <t>NEW DEVELOPMENT RESULT</t>
        </is>
      </c>
      <c r="W210" s="31" t="n">
        <v>0.0013171095646672</v>
      </c>
    </row>
    <row r="211" ht="24" customHeight="1">
      <c r="A211" s="31" t="inlineStr">
        <is>
          <t>D012__DTT__8103</t>
        </is>
      </c>
      <c r="B211" s="31" t="inlineStr">
        <is>
          <t>D012</t>
        </is>
      </c>
      <c r="C211" s="31" t="inlineStr">
        <is>
          <t>DTT</t>
        </is>
      </c>
      <c r="D211" s="31" t="n">
        <v>8103</v>
      </c>
      <c r="E211" s="31" t="n">
        <v>597</v>
      </c>
      <c r="F211" s="33" t="n">
        <v>368.9480737018425</v>
      </c>
      <c r="G211" s="33" t="n">
        <v>980.0990601322968</v>
      </c>
      <c r="H211" s="33" t="n">
        <v>3404.50149078727</v>
      </c>
      <c r="I211" s="33" t="n">
        <v>649.1999999999999</v>
      </c>
      <c r="J211" s="33" t="n">
        <v>0.4304857621440536</v>
      </c>
      <c r="K211" s="33" t="n">
        <v>247.0275689223058</v>
      </c>
      <c r="L211" s="33" t="n">
        <v>607.6764235974201</v>
      </c>
      <c r="M211" s="33" t="n">
        <v>827582.0319143519</v>
      </c>
      <c r="N211" s="33" t="n">
        <v>105989</v>
      </c>
      <c r="O211" s="34" t="n">
        <v>0.4494565217391304</v>
      </c>
      <c r="P211" s="34" t="n">
        <v>0.210226646717303</v>
      </c>
      <c r="Q211" s="34" t="n">
        <v>0.0010735157434337</v>
      </c>
      <c r="R211" s="31" t="n">
        <v>1200</v>
      </c>
      <c r="S211" s="31" t="n">
        <v>200</v>
      </c>
      <c r="T211" s="31" t="inlineStr">
        <is>
          <t>U</t>
        </is>
      </c>
      <c r="U211" s="31" t="inlineStr">
        <is>
          <t>Arterial</t>
        </is>
      </c>
      <c r="V211" s="31" t="inlineStr">
        <is>
          <t>NEW DEVELOPMENT RESULT</t>
        </is>
      </c>
      <c r="W211" s="31" t="n">
        <v>0.0013505471282562</v>
      </c>
    </row>
    <row r="212" ht="24" customHeight="1">
      <c r="A212" s="31" t="inlineStr">
        <is>
          <t>D012__ECO__8101</t>
        </is>
      </c>
      <c r="B212" s="31" t="inlineStr">
        <is>
          <t>D012</t>
        </is>
      </c>
      <c r="C212" s="31" t="inlineStr">
        <is>
          <t>ECO</t>
        </is>
      </c>
      <c r="D212" s="31" t="n">
        <v>8101</v>
      </c>
      <c r="E212" s="31" t="n">
        <v>611</v>
      </c>
      <c r="F212" s="33" t="n">
        <v>299.7643207855974</v>
      </c>
      <c r="G212" s="33" t="n">
        <v>797.3701565493983</v>
      </c>
      <c r="H212" s="33" t="n">
        <v>3203.72</v>
      </c>
      <c r="I212" s="33" t="n">
        <v>317</v>
      </c>
      <c r="J212" s="33" t="n">
        <v>0.3322422258592471</v>
      </c>
      <c r="K212" s="33" t="n">
        <v>246.9867724867725</v>
      </c>
      <c r="L212" s="33" t="n">
        <v>607.6499770611385</v>
      </c>
      <c r="M212" s="33" t="n">
        <v>716884.8569807928</v>
      </c>
      <c r="N212" s="33" t="n">
        <v>86065</v>
      </c>
      <c r="O212" s="34" t="n">
        <v>0</v>
      </c>
      <c r="P212" s="34" t="n">
        <v>0.0555224338877393</v>
      </c>
      <c r="Q212" s="34" t="n">
        <v>0.0152915337997039</v>
      </c>
      <c r="R212" s="31" t="n">
        <v>1200</v>
      </c>
      <c r="S212" s="31" t="n">
        <v>200</v>
      </c>
      <c r="T212" s="31" t="inlineStr">
        <is>
          <t>U</t>
        </is>
      </c>
      <c r="U212" s="31" t="inlineStr">
        <is>
          <t>Arterial</t>
        </is>
      </c>
      <c r="V212" s="31" t="inlineStr">
        <is>
          <t>NEW DEVELOPMENT RESULT</t>
        </is>
      </c>
      <c r="W212" s="31" t="n">
        <v>0.0015196726212081</v>
      </c>
    </row>
    <row r="213" ht="24" customHeight="1">
      <c r="A213" s="31" t="inlineStr">
        <is>
          <t>D012__ECO__8102</t>
        </is>
      </c>
      <c r="B213" s="31" t="inlineStr">
        <is>
          <t>D012</t>
        </is>
      </c>
      <c r="C213" s="31" t="inlineStr">
        <is>
          <t>ECO</t>
        </is>
      </c>
      <c r="D213" s="31" t="n">
        <v>8102</v>
      </c>
      <c r="E213" s="31" t="n">
        <v>654</v>
      </c>
      <c r="F213" s="33" t="n">
        <v>310.2324159021406</v>
      </c>
      <c r="G213" s="33" t="n">
        <v>833.6875137584362</v>
      </c>
      <c r="H213" s="33" t="n">
        <v>3203.72</v>
      </c>
      <c r="I213" s="33" t="n">
        <v>336.35</v>
      </c>
      <c r="J213" s="33" t="n">
        <v>0.6146788990825688</v>
      </c>
      <c r="K213" s="33" t="n">
        <v>249.0180878552972</v>
      </c>
      <c r="L213" s="33" t="n">
        <v>613.1871982528231</v>
      </c>
      <c r="M213" s="33" t="n">
        <v>782535.0797218598</v>
      </c>
      <c r="N213" s="33" t="n">
        <v>88726</v>
      </c>
      <c r="O213" s="34" t="n">
        <v>0</v>
      </c>
      <c r="P213" s="34" t="n">
        <v>0.0611521997474209</v>
      </c>
      <c r="Q213" s="34" t="n">
        <v>-0.0221331498644101</v>
      </c>
      <c r="R213" s="31" t="n">
        <v>1200</v>
      </c>
      <c r="S213" s="31" t="n">
        <v>200</v>
      </c>
      <c r="T213" s="31" t="inlineStr">
        <is>
          <t>U</t>
        </is>
      </c>
      <c r="U213" s="31" t="inlineStr">
        <is>
          <t>Arterial</t>
        </is>
      </c>
      <c r="V213" s="31" t="inlineStr">
        <is>
          <t>NEW DEVELOPMENT RESULT</t>
        </is>
      </c>
      <c r="W213" s="31" t="n">
        <v>0.0015117763495211</v>
      </c>
    </row>
    <row r="214" ht="24" customHeight="1">
      <c r="A214" s="31" t="inlineStr">
        <is>
          <t>D012__ECO__8103</t>
        </is>
      </c>
      <c r="B214" s="31" t="inlineStr">
        <is>
          <t>D012</t>
        </is>
      </c>
      <c r="C214" s="31" t="inlineStr">
        <is>
          <t>ECO</t>
        </is>
      </c>
      <c r="D214" s="31" t="n">
        <v>8103</v>
      </c>
      <c r="E214" s="31" t="n">
        <v>597</v>
      </c>
      <c r="F214" s="33" t="n">
        <v>300.214405360134</v>
      </c>
      <c r="G214" s="33" t="n">
        <v>798.5743804806762</v>
      </c>
      <c r="H214" s="33" t="n">
        <v>3203.72</v>
      </c>
      <c r="I214" s="33" t="n">
        <v>323</v>
      </c>
      <c r="J214" s="33" t="n">
        <v>0.4304857621440536</v>
      </c>
      <c r="K214" s="33" t="n">
        <v>247.0275689223058</v>
      </c>
      <c r="L214" s="33" t="n">
        <v>607.6764235974201</v>
      </c>
      <c r="M214" s="33" t="n">
        <v>719211.7981623342</v>
      </c>
      <c r="N214" s="33" t="n">
        <v>80078</v>
      </c>
      <c r="O214" s="34" t="n">
        <v>0</v>
      </c>
      <c r="P214" s="34" t="n">
        <v>0.0586650321025394</v>
      </c>
      <c r="Q214" s="34" t="n">
        <v>-0.0069894721701779</v>
      </c>
      <c r="R214" s="31" t="n">
        <v>1200</v>
      </c>
      <c r="S214" s="31" t="n">
        <v>200</v>
      </c>
      <c r="T214" s="31" t="inlineStr">
        <is>
          <t>U</t>
        </is>
      </c>
      <c r="U214" s="31" t="inlineStr">
        <is>
          <t>Arterial</t>
        </is>
      </c>
      <c r="V214" s="31" t="inlineStr">
        <is>
          <t>NEW DEVELOPMENT RESULT</t>
        </is>
      </c>
      <c r="W214" s="31" t="n">
        <v>0.0015595037650729</v>
      </c>
    </row>
    <row r="215" ht="24" customHeight="1">
      <c r="A215" s="31" t="inlineStr">
        <is>
          <t>D012__TECO05__8101</t>
        </is>
      </c>
      <c r="B215" s="31" t="inlineStr">
        <is>
          <t>D012</t>
        </is>
      </c>
      <c r="C215" s="31" t="inlineStr">
        <is>
          <t>TECO05</t>
        </is>
      </c>
      <c r="D215" s="31" t="n">
        <v>8101</v>
      </c>
      <c r="E215" s="31" t="n">
        <v>611</v>
      </c>
      <c r="F215" s="33" t="n">
        <v>319.1882160392799</v>
      </c>
      <c r="G215" s="33" t="n">
        <v>851.7847871069315</v>
      </c>
      <c r="H215" s="33" t="n">
        <v>3309.48464811784</v>
      </c>
      <c r="I215" s="33" t="n">
        <v>450</v>
      </c>
      <c r="J215" s="33" t="n">
        <v>0.3322422258592471</v>
      </c>
      <c r="K215" s="33" t="n">
        <v>246.9867724867725</v>
      </c>
      <c r="L215" s="33" t="n">
        <v>607.6499770611385</v>
      </c>
      <c r="M215" s="33" t="n">
        <v>750132.1962514456</v>
      </c>
      <c r="N215" s="33" t="n">
        <v>91723</v>
      </c>
      <c r="O215" s="34" t="n">
        <v>0.1951493060423384</v>
      </c>
      <c r="P215" s="34" t="n">
        <v>0.1217170247860904</v>
      </c>
      <c r="Q215" s="34" t="n">
        <v>0.058062574076164</v>
      </c>
      <c r="R215" s="31" t="n">
        <v>1200</v>
      </c>
      <c r="S215" s="31" t="n">
        <v>200</v>
      </c>
      <c r="T215" s="31" t="inlineStr">
        <is>
          <t>U</t>
        </is>
      </c>
      <c r="U215" s="31" t="inlineStr">
        <is>
          <t>Arterial</t>
        </is>
      </c>
      <c r="V215" s="31" t="inlineStr">
        <is>
          <t>NEW DEVELOPMENT RESULT</t>
        </is>
      </c>
      <c r="W215" s="31" t="n">
        <v>0.0014355667682332</v>
      </c>
    </row>
    <row r="216" ht="24" customHeight="1">
      <c r="A216" s="31" t="inlineStr">
        <is>
          <t>D012__TECO05__8102</t>
        </is>
      </c>
      <c r="B216" s="31" t="inlineStr">
        <is>
          <t>D012</t>
        </is>
      </c>
      <c r="C216" s="31" t="inlineStr">
        <is>
          <t>TECO05</t>
        </is>
      </c>
      <c r="D216" s="31" t="n">
        <v>8102</v>
      </c>
      <c r="E216" s="31" t="n">
        <v>654</v>
      </c>
      <c r="F216" s="33" t="n">
        <v>339.4908256880734</v>
      </c>
      <c r="G216" s="33" t="n">
        <v>912.1911873784198</v>
      </c>
      <c r="H216" s="33" t="n">
        <v>3291.978103975536</v>
      </c>
      <c r="I216" s="33" t="n">
        <v>591.7</v>
      </c>
      <c r="J216" s="33" t="n">
        <v>0.6146788990825688</v>
      </c>
      <c r="K216" s="33" t="n">
        <v>249.0180878552972</v>
      </c>
      <c r="L216" s="33" t="n">
        <v>613.1871982528231</v>
      </c>
      <c r="M216" s="33" t="n">
        <v>833876.482269329</v>
      </c>
      <c r="N216" s="33" t="n">
        <v>101424</v>
      </c>
      <c r="O216" s="34" t="n">
        <v>0.1544564929912721</v>
      </c>
      <c r="P216" s="34" t="n">
        <v>0.1239801310990138</v>
      </c>
      <c r="Q216" s="34" t="n">
        <v>-0.0375659795211864</v>
      </c>
      <c r="R216" s="31" t="n">
        <v>1200</v>
      </c>
      <c r="S216" s="31" t="n">
        <v>200</v>
      </c>
      <c r="T216" s="31" t="inlineStr">
        <is>
          <t>U</t>
        </is>
      </c>
      <c r="U216" s="31" t="inlineStr">
        <is>
          <t>Arterial</t>
        </is>
      </c>
      <c r="V216" s="31" t="inlineStr">
        <is>
          <t>NEW DEVELOPMENT RESULT</t>
        </is>
      </c>
      <c r="W216" s="31" t="n">
        <v>0.0014085374424199</v>
      </c>
    </row>
    <row r="217" ht="24" customHeight="1">
      <c r="A217" s="31" t="inlineStr">
        <is>
          <t>D012__TECO05__8103</t>
        </is>
      </c>
      <c r="B217" s="31" t="inlineStr">
        <is>
          <t>D012</t>
        </is>
      </c>
      <c r="C217" s="31" t="inlineStr">
        <is>
          <t>TECO05</t>
        </is>
      </c>
      <c r="D217" s="31" t="n">
        <v>8103</v>
      </c>
      <c r="E217" s="31" t="n">
        <v>597</v>
      </c>
      <c r="F217" s="33" t="n">
        <v>313.4137353433836</v>
      </c>
      <c r="G217" s="33" t="n">
        <v>835.2852588380902</v>
      </c>
      <c r="H217" s="33" t="n">
        <v>3283.590016750419</v>
      </c>
      <c r="I217" s="33" t="n">
        <v>428.1999999999996</v>
      </c>
      <c r="J217" s="33" t="n">
        <v>0.4304857621440536</v>
      </c>
      <c r="K217" s="33" t="n">
        <v>247.0275689223058</v>
      </c>
      <c r="L217" s="33" t="n">
        <v>607.6764235974201</v>
      </c>
      <c r="M217" s="33" t="n">
        <v>741128.1925417105</v>
      </c>
      <c r="N217" s="33" t="n">
        <v>83681</v>
      </c>
      <c r="O217" s="34" t="n">
        <v>0.1526706447387571</v>
      </c>
      <c r="P217" s="34" t="n">
        <v>0.1119001598078019</v>
      </c>
      <c r="Q217" s="34" t="n">
        <v>0.0169960081526488</v>
      </c>
      <c r="R217" s="31" t="n">
        <v>1200</v>
      </c>
      <c r="S217" s="31" t="n">
        <v>200</v>
      </c>
      <c r="T217" s="31" t="inlineStr">
        <is>
          <t>U</t>
        </is>
      </c>
      <c r="U217" s="31" t="inlineStr">
        <is>
          <t>Arterial</t>
        </is>
      </c>
      <c r="V217" s="31" t="inlineStr">
        <is>
          <t>NEW DEVELOPMENT RESULT</t>
        </is>
      </c>
      <c r="W217" s="31" t="n">
        <v>0.0014944611954078</v>
      </c>
    </row>
    <row r="218" ht="24" customHeight="1">
      <c r="A218" s="31" t="inlineStr">
        <is>
          <t>D012__TECO10__8101</t>
        </is>
      </c>
      <c r="B218" s="31" t="inlineStr">
        <is>
          <t>D012</t>
        </is>
      </c>
      <c r="C218" s="31" t="inlineStr">
        <is>
          <t>TECO10</t>
        </is>
      </c>
      <c r="D218" s="31" t="n">
        <v>8101</v>
      </c>
      <c r="E218" s="31" t="n">
        <v>611</v>
      </c>
      <c r="F218" s="33" t="n">
        <v>299.7643207855974</v>
      </c>
      <c r="G218" s="33" t="n">
        <v>797.3701565493983</v>
      </c>
      <c r="H218" s="33" t="n">
        <v>3203.72</v>
      </c>
      <c r="I218" s="33" t="n">
        <v>317</v>
      </c>
      <c r="J218" s="33" t="n">
        <v>0.3322422258592471</v>
      </c>
      <c r="K218" s="33" t="n">
        <v>246.9867724867725</v>
      </c>
      <c r="L218" s="33" t="n">
        <v>607.6499770611385</v>
      </c>
      <c r="M218" s="33" t="n">
        <v>716884.8569807928</v>
      </c>
      <c r="N218" s="33" t="n">
        <v>86065</v>
      </c>
      <c r="O218" s="34" t="n">
        <v>0</v>
      </c>
      <c r="P218" s="34" t="n">
        <v>0.0555224338877393</v>
      </c>
      <c r="Q218" s="34" t="n">
        <v>0.0152915337997039</v>
      </c>
      <c r="R218" s="31" t="n">
        <v>1200</v>
      </c>
      <c r="S218" s="31" t="n">
        <v>200</v>
      </c>
      <c r="T218" s="31" t="inlineStr">
        <is>
          <t>U</t>
        </is>
      </c>
      <c r="U218" s="31" t="inlineStr">
        <is>
          <t>Arterial</t>
        </is>
      </c>
      <c r="V218" s="31" t="inlineStr">
        <is>
          <t>NEW DEVELOPMENT RESULT</t>
        </is>
      </c>
      <c r="W218" s="31" t="n">
        <v>0.0015196726212081</v>
      </c>
    </row>
    <row r="219" ht="24" customHeight="1">
      <c r="A219" s="31" t="inlineStr">
        <is>
          <t>D012__TECO10__8102</t>
        </is>
      </c>
      <c r="B219" s="31" t="inlineStr">
        <is>
          <t>D012</t>
        </is>
      </c>
      <c r="C219" s="31" t="inlineStr">
        <is>
          <t>TECO10</t>
        </is>
      </c>
      <c r="D219" s="31" t="n">
        <v>8102</v>
      </c>
      <c r="E219" s="31" t="n">
        <v>654</v>
      </c>
      <c r="F219" s="33" t="n">
        <v>310.2324159021406</v>
      </c>
      <c r="G219" s="33" t="n">
        <v>833.6875137584362</v>
      </c>
      <c r="H219" s="33" t="n">
        <v>3203.72</v>
      </c>
      <c r="I219" s="33" t="n">
        <v>336.35</v>
      </c>
      <c r="J219" s="33" t="n">
        <v>0.6146788990825688</v>
      </c>
      <c r="K219" s="33" t="n">
        <v>249.0180878552972</v>
      </c>
      <c r="L219" s="33" t="n">
        <v>613.1871982528231</v>
      </c>
      <c r="M219" s="33" t="n">
        <v>782535.0797218598</v>
      </c>
      <c r="N219" s="33" t="n">
        <v>88726</v>
      </c>
      <c r="O219" s="34" t="n">
        <v>0</v>
      </c>
      <c r="P219" s="34" t="n">
        <v>0.0611521997474209</v>
      </c>
      <c r="Q219" s="34" t="n">
        <v>-0.0221331498644101</v>
      </c>
      <c r="R219" s="31" t="n">
        <v>1200</v>
      </c>
      <c r="S219" s="31" t="n">
        <v>200</v>
      </c>
      <c r="T219" s="31" t="inlineStr">
        <is>
          <t>U</t>
        </is>
      </c>
      <c r="U219" s="31" t="inlineStr">
        <is>
          <t>Arterial</t>
        </is>
      </c>
      <c r="V219" s="31" t="inlineStr">
        <is>
          <t>NEW DEVELOPMENT RESULT</t>
        </is>
      </c>
      <c r="W219" s="31" t="n">
        <v>0.0015117763495211</v>
      </c>
    </row>
    <row r="220" ht="24" customHeight="1">
      <c r="A220" s="31" t="inlineStr">
        <is>
          <t>D012__TECO10__8103</t>
        </is>
      </c>
      <c r="B220" s="31" t="inlineStr">
        <is>
          <t>D012</t>
        </is>
      </c>
      <c r="C220" s="31" t="inlineStr">
        <is>
          <t>TECO10</t>
        </is>
      </c>
      <c r="D220" s="31" t="n">
        <v>8103</v>
      </c>
      <c r="E220" s="31" t="n">
        <v>597</v>
      </c>
      <c r="F220" s="33" t="n">
        <v>300.214405360134</v>
      </c>
      <c r="G220" s="33" t="n">
        <v>798.5743804806762</v>
      </c>
      <c r="H220" s="33" t="n">
        <v>3203.72</v>
      </c>
      <c r="I220" s="33" t="n">
        <v>323</v>
      </c>
      <c r="J220" s="33" t="n">
        <v>0.4304857621440536</v>
      </c>
      <c r="K220" s="33" t="n">
        <v>247.0275689223058</v>
      </c>
      <c r="L220" s="33" t="n">
        <v>607.6764235974201</v>
      </c>
      <c r="M220" s="33" t="n">
        <v>719211.7981623342</v>
      </c>
      <c r="N220" s="33" t="n">
        <v>80078</v>
      </c>
      <c r="O220" s="34" t="n">
        <v>0</v>
      </c>
      <c r="P220" s="34" t="n">
        <v>0.0586650321025394</v>
      </c>
      <c r="Q220" s="34" t="n">
        <v>-0.0069894721701779</v>
      </c>
      <c r="R220" s="31" t="n">
        <v>1200</v>
      </c>
      <c r="S220" s="31" t="n">
        <v>200</v>
      </c>
      <c r="T220" s="31" t="inlineStr">
        <is>
          <t>U</t>
        </is>
      </c>
      <c r="U220" s="31" t="inlineStr">
        <is>
          <t>Arterial</t>
        </is>
      </c>
      <c r="V220" s="31" t="inlineStr">
        <is>
          <t>NEW DEVELOPMENT RESULT</t>
        </is>
      </c>
      <c r="W220" s="31" t="n">
        <v>0.0015595037650729</v>
      </c>
    </row>
    <row r="221" ht="24" customHeight="1">
      <c r="A221" s="31" t="inlineStr">
        <is>
          <t>D012__TECO15__8101</t>
        </is>
      </c>
      <c r="B221" s="31" t="inlineStr">
        <is>
          <t>D012</t>
        </is>
      </c>
      <c r="C221" s="31" t="inlineStr">
        <is>
          <t>TECO15</t>
        </is>
      </c>
      <c r="D221" s="31" t="n">
        <v>8101</v>
      </c>
      <c r="E221" s="31" t="n">
        <v>611</v>
      </c>
      <c r="F221" s="33" t="n">
        <v>299.7643207855974</v>
      </c>
      <c r="G221" s="33" t="n">
        <v>797.3701565493983</v>
      </c>
      <c r="H221" s="33" t="n">
        <v>3203.72</v>
      </c>
      <c r="I221" s="33" t="n">
        <v>317</v>
      </c>
      <c r="J221" s="33" t="n">
        <v>0.3322422258592471</v>
      </c>
      <c r="K221" s="33" t="n">
        <v>246.9867724867725</v>
      </c>
      <c r="L221" s="33" t="n">
        <v>607.6499770611385</v>
      </c>
      <c r="M221" s="33" t="n">
        <v>716884.8569807928</v>
      </c>
      <c r="N221" s="33" t="n">
        <v>86065</v>
      </c>
      <c r="O221" s="34" t="n">
        <v>0</v>
      </c>
      <c r="P221" s="34" t="n">
        <v>0.0555224338877393</v>
      </c>
      <c r="Q221" s="34" t="n">
        <v>0.0152915337997039</v>
      </c>
      <c r="R221" s="31" t="n">
        <v>1200</v>
      </c>
      <c r="S221" s="31" t="n">
        <v>200</v>
      </c>
      <c r="T221" s="31" t="inlineStr">
        <is>
          <t>U</t>
        </is>
      </c>
      <c r="U221" s="31" t="inlineStr">
        <is>
          <t>Arterial</t>
        </is>
      </c>
      <c r="V221" s="31" t="inlineStr">
        <is>
          <t>NEW DEVELOPMENT RESULT</t>
        </is>
      </c>
      <c r="W221" s="31" t="n">
        <v>0.0015196726212081</v>
      </c>
    </row>
    <row r="222" ht="24" customHeight="1">
      <c r="A222" s="31" t="inlineStr">
        <is>
          <t>D012__TECO15__8102</t>
        </is>
      </c>
      <c r="B222" s="31" t="inlineStr">
        <is>
          <t>D012</t>
        </is>
      </c>
      <c r="C222" s="31" t="inlineStr">
        <is>
          <t>TECO15</t>
        </is>
      </c>
      <c r="D222" s="31" t="n">
        <v>8102</v>
      </c>
      <c r="E222" s="31" t="n">
        <v>654</v>
      </c>
      <c r="F222" s="33" t="n">
        <v>310.2324159021406</v>
      </c>
      <c r="G222" s="33" t="n">
        <v>833.6875137584362</v>
      </c>
      <c r="H222" s="33" t="n">
        <v>3203.72</v>
      </c>
      <c r="I222" s="33" t="n">
        <v>336.35</v>
      </c>
      <c r="J222" s="33" t="n">
        <v>0.6146788990825688</v>
      </c>
      <c r="K222" s="33" t="n">
        <v>249.0180878552972</v>
      </c>
      <c r="L222" s="33" t="n">
        <v>613.1871982528231</v>
      </c>
      <c r="M222" s="33" t="n">
        <v>782535.0797218598</v>
      </c>
      <c r="N222" s="33" t="n">
        <v>88726</v>
      </c>
      <c r="O222" s="34" t="n">
        <v>0</v>
      </c>
      <c r="P222" s="34" t="n">
        <v>0.0611521997474209</v>
      </c>
      <c r="Q222" s="34" t="n">
        <v>-0.0221331498644101</v>
      </c>
      <c r="R222" s="31" t="n">
        <v>1200</v>
      </c>
      <c r="S222" s="31" t="n">
        <v>200</v>
      </c>
      <c r="T222" s="31" t="inlineStr">
        <is>
          <t>U</t>
        </is>
      </c>
      <c r="U222" s="31" t="inlineStr">
        <is>
          <t>Arterial</t>
        </is>
      </c>
      <c r="V222" s="31" t="inlineStr">
        <is>
          <t>NEW DEVELOPMENT RESULT</t>
        </is>
      </c>
      <c r="W222" s="31" t="n">
        <v>0.0015117763495211</v>
      </c>
    </row>
    <row r="223" ht="24" customHeight="1">
      <c r="A223" s="31" t="inlineStr">
        <is>
          <t>D012__TECO15__8103</t>
        </is>
      </c>
      <c r="B223" s="31" t="inlineStr">
        <is>
          <t>D012</t>
        </is>
      </c>
      <c r="C223" s="31" t="inlineStr">
        <is>
          <t>TECO15</t>
        </is>
      </c>
      <c r="D223" s="31" t="n">
        <v>8103</v>
      </c>
      <c r="E223" s="31" t="n">
        <v>597</v>
      </c>
      <c r="F223" s="33" t="n">
        <v>300.214405360134</v>
      </c>
      <c r="G223" s="33" t="n">
        <v>798.5743804806762</v>
      </c>
      <c r="H223" s="33" t="n">
        <v>3203.72</v>
      </c>
      <c r="I223" s="33" t="n">
        <v>323</v>
      </c>
      <c r="J223" s="33" t="n">
        <v>0.4304857621440536</v>
      </c>
      <c r="K223" s="33" t="n">
        <v>247.0275689223058</v>
      </c>
      <c r="L223" s="33" t="n">
        <v>607.6764235974201</v>
      </c>
      <c r="M223" s="33" t="n">
        <v>719211.7981623342</v>
      </c>
      <c r="N223" s="33" t="n">
        <v>80078</v>
      </c>
      <c r="O223" s="34" t="n">
        <v>0</v>
      </c>
      <c r="P223" s="34" t="n">
        <v>0.0586650321025394</v>
      </c>
      <c r="Q223" s="34" t="n">
        <v>-0.0069894721701779</v>
      </c>
      <c r="R223" s="31" t="n">
        <v>1200</v>
      </c>
      <c r="S223" s="31" t="n">
        <v>200</v>
      </c>
      <c r="T223" s="31" t="inlineStr">
        <is>
          <t>U</t>
        </is>
      </c>
      <c r="U223" s="31" t="inlineStr">
        <is>
          <t>Arterial</t>
        </is>
      </c>
      <c r="V223" s="31" t="inlineStr">
        <is>
          <t>NEW DEVELOPMENT RESULT</t>
        </is>
      </c>
      <c r="W223" s="31" t="n">
        <v>0.0015595037650729</v>
      </c>
    </row>
    <row r="224" ht="24" customHeight="1">
      <c r="A224" s="31" t="inlineStr">
        <is>
          <t>D013__SP__8101</t>
        </is>
      </c>
      <c r="B224" s="31" t="inlineStr">
        <is>
          <t>D013</t>
        </is>
      </c>
      <c r="C224" s="31" t="inlineStr">
        <is>
          <t>SP</t>
        </is>
      </c>
      <c r="D224" s="31" t="n">
        <v>8101</v>
      </c>
      <c r="E224" s="31" t="n">
        <v>611</v>
      </c>
      <c r="F224" s="33" t="n">
        <v>905.7152209492637</v>
      </c>
      <c r="G224" s="33" t="n">
        <v>2351.461871411223</v>
      </c>
      <c r="H224" s="33" t="n">
        <v>3203.72</v>
      </c>
      <c r="I224" s="33" t="n">
        <v>1058</v>
      </c>
      <c r="J224" s="33" t="n">
        <v>119.4042553191489</v>
      </c>
      <c r="K224" s="33" t="n">
        <v>236.9867724867725</v>
      </c>
      <c r="L224" s="33" t="n">
        <v>578.6863631529501</v>
      </c>
      <c r="M224" s="33" t="n">
        <v>1655486.648704073</v>
      </c>
      <c r="N224" s="33" t="n">
        <v>372152</v>
      </c>
      <c r="O224" s="34" t="n">
        <v>0</v>
      </c>
      <c r="P224" s="34" t="n">
        <v>0.1085506116467147</v>
      </c>
      <c r="Q224" s="34" t="n">
        <v>0.011560943362713</v>
      </c>
      <c r="R224" s="31" t="n">
        <v>1200</v>
      </c>
      <c r="S224" s="31" t="n">
        <v>200</v>
      </c>
      <c r="T224" s="31" t="inlineStr">
        <is>
          <t>C</t>
        </is>
      </c>
      <c r="U224" s="31" t="inlineStr">
        <is>
          <t>Balanced</t>
        </is>
      </c>
      <c r="V224" s="31" t="inlineStr">
        <is>
          <t>NEW DEVELOPMENT RESULT</t>
        </is>
      </c>
      <c r="W224" s="31" t="n">
        <v>0.0007245872996332</v>
      </c>
    </row>
    <row r="225" ht="24" customHeight="1">
      <c r="A225" s="31" t="inlineStr">
        <is>
          <t>D013__SP__8102</t>
        </is>
      </c>
      <c r="B225" s="31" t="inlineStr">
        <is>
          <t>D013</t>
        </is>
      </c>
      <c r="C225" s="31" t="inlineStr">
        <is>
          <t>SP</t>
        </is>
      </c>
      <c r="D225" s="31" t="n">
        <v>8102</v>
      </c>
      <c r="E225" s="31" t="n">
        <v>654</v>
      </c>
      <c r="F225" s="33" t="n">
        <v>857.6926605504588</v>
      </c>
      <c r="G225" s="33" t="n">
        <v>2253.695225049697</v>
      </c>
      <c r="H225" s="33" t="n">
        <v>3203.72</v>
      </c>
      <c r="I225" s="33" t="n">
        <v>1091.35</v>
      </c>
      <c r="J225" s="33" t="n">
        <v>100.7217125382263</v>
      </c>
      <c r="K225" s="33" t="n">
        <v>238.7777777777778</v>
      </c>
      <c r="L225" s="33" t="n">
        <v>583.9838383188488</v>
      </c>
      <c r="M225" s="33" t="n">
        <v>1699918.422611896</v>
      </c>
      <c r="N225" s="33" t="n">
        <v>355254</v>
      </c>
      <c r="O225" s="34" t="n">
        <v>0</v>
      </c>
      <c r="P225" s="34" t="n">
        <v>0.0978196145244835</v>
      </c>
      <c r="Q225" s="34" t="n">
        <v>-0.0241815730374509</v>
      </c>
      <c r="R225" s="31" t="n">
        <v>1200</v>
      </c>
      <c r="S225" s="31" t="n">
        <v>200</v>
      </c>
      <c r="T225" s="31" t="inlineStr">
        <is>
          <t>C</t>
        </is>
      </c>
      <c r="U225" s="31" t="inlineStr">
        <is>
          <t>Balanced</t>
        </is>
      </c>
      <c r="V225" s="31" t="inlineStr">
        <is>
          <t>NEW DEVELOPMENT RESULT</t>
        </is>
      </c>
      <c r="W225" s="31" t="n">
        <v>0.0007540323363917001</v>
      </c>
    </row>
    <row r="226" ht="24" customHeight="1">
      <c r="A226" s="31" t="inlineStr">
        <is>
          <t>D013__SP__8103</t>
        </is>
      </c>
      <c r="B226" s="31" t="inlineStr">
        <is>
          <t>D013</t>
        </is>
      </c>
      <c r="C226" s="31" t="inlineStr">
        <is>
          <t>SP</t>
        </is>
      </c>
      <c r="D226" s="31" t="n">
        <v>8103</v>
      </c>
      <c r="E226" s="31" t="n">
        <v>597</v>
      </c>
      <c r="F226" s="33" t="n">
        <v>791.8525963149078</v>
      </c>
      <c r="G226" s="33" t="n">
        <v>2243.600307946961</v>
      </c>
      <c r="H226" s="33" t="n">
        <v>3203.72</v>
      </c>
      <c r="I226" s="33" t="n">
        <v>923.2</v>
      </c>
      <c r="J226" s="33" t="n">
        <v>37.43048576214405</v>
      </c>
      <c r="K226" s="33" t="n">
        <v>237.0275689223058</v>
      </c>
      <c r="L226" s="33" t="n">
        <v>579.2319598187086</v>
      </c>
      <c r="M226" s="33" t="n">
        <v>1570542.935812001</v>
      </c>
      <c r="N226" s="33" t="n">
        <v>331340</v>
      </c>
      <c r="O226" s="34" t="n">
        <v>0</v>
      </c>
      <c r="P226" s="34" t="n">
        <v>0.0922621049403429</v>
      </c>
      <c r="Q226" s="34" t="n">
        <v>-0.031059458142096</v>
      </c>
      <c r="R226" s="31" t="n">
        <v>1200</v>
      </c>
      <c r="S226" s="31" t="n">
        <v>200</v>
      </c>
      <c r="T226" s="31" t="inlineStr">
        <is>
          <t>C</t>
        </is>
      </c>
      <c r="U226" s="31" t="inlineStr">
        <is>
          <t>Balanced</t>
        </is>
      </c>
      <c r="V226" s="31" t="inlineStr">
        <is>
          <t>NEW DEVELOPMENT RESULT</t>
        </is>
      </c>
      <c r="W226" s="31" t="n">
        <v>0.0007731665883871</v>
      </c>
    </row>
    <row r="227" ht="24" customHeight="1">
      <c r="A227" s="31" t="inlineStr">
        <is>
          <t>D013__DTT__8101</t>
        </is>
      </c>
      <c r="B227" s="31" t="inlineStr">
        <is>
          <t>D013</t>
        </is>
      </c>
      <c r="C227" s="31" t="inlineStr">
        <is>
          <t>DTT</t>
        </is>
      </c>
      <c r="D227" s="31" t="n">
        <v>8101</v>
      </c>
      <c r="E227" s="31" t="n">
        <v>611</v>
      </c>
      <c r="F227" s="33" t="n">
        <v>433.6415711947627</v>
      </c>
      <c r="G227" s="33" t="n">
        <v>1161.079461723658</v>
      </c>
      <c r="H227" s="33" t="n">
        <v>3575.474386252045</v>
      </c>
      <c r="I227" s="33" t="n">
        <v>660.5</v>
      </c>
      <c r="J227" s="33" t="n">
        <v>0.3322422258592471</v>
      </c>
      <c r="K227" s="33" t="n">
        <v>236.9867724867725</v>
      </c>
      <c r="L227" s="33" t="n">
        <v>578.6863631529501</v>
      </c>
      <c r="M227" s="33" t="n">
        <v>928162.99638497</v>
      </c>
      <c r="N227" s="33" t="n">
        <v>153336</v>
      </c>
      <c r="O227" s="34" t="n">
        <v>0.5866586538461539</v>
      </c>
      <c r="P227" s="34" t="n">
        <v>0.2562377484450439</v>
      </c>
      <c r="Q227" s="34" t="n">
        <v>0.1059035011592155</v>
      </c>
      <c r="R227" s="31" t="n">
        <v>1200</v>
      </c>
      <c r="S227" s="31" t="n">
        <v>200</v>
      </c>
      <c r="T227" s="31" t="inlineStr">
        <is>
          <t>C</t>
        </is>
      </c>
      <c r="U227" s="31" t="inlineStr">
        <is>
          <t>Balanced</t>
        </is>
      </c>
      <c r="V227" s="31" t="inlineStr">
        <is>
          <t>NEW DEVELOPMENT RESULT</t>
        </is>
      </c>
      <c r="W227" s="31" t="n">
        <v>0.0011170280287887</v>
      </c>
    </row>
    <row r="228" ht="24" customHeight="1">
      <c r="A228" s="31" t="inlineStr">
        <is>
          <t>D013__DTT__8102</t>
        </is>
      </c>
      <c r="B228" s="31" t="inlineStr">
        <is>
          <t>D013</t>
        </is>
      </c>
      <c r="C228" s="31" t="inlineStr">
        <is>
          <t>DTT</t>
        </is>
      </c>
      <c r="D228" s="31" t="n">
        <v>8102</v>
      </c>
      <c r="E228" s="31" t="n">
        <v>654</v>
      </c>
      <c r="F228" s="33" t="n">
        <v>465.4189602446483</v>
      </c>
      <c r="G228" s="33" t="n">
        <v>1260.862095753645</v>
      </c>
      <c r="H228" s="33" t="n">
        <v>3567.772614678899</v>
      </c>
      <c r="I228" s="33" t="n">
        <v>709.35</v>
      </c>
      <c r="J228" s="33" t="n">
        <v>0.6100917431192661</v>
      </c>
      <c r="K228" s="33" t="n">
        <v>238.7855297157623</v>
      </c>
      <c r="L228" s="33" t="n">
        <v>584.003705400562</v>
      </c>
      <c r="M228" s="33" t="n">
        <v>1050613.244612901</v>
      </c>
      <c r="N228" s="33" t="n">
        <v>157009</v>
      </c>
      <c r="O228" s="34" t="n">
        <v>0.6218732473359506</v>
      </c>
      <c r="P228" s="34" t="n">
        <v>0.2193318519635869</v>
      </c>
      <c r="Q228" s="34" t="n">
        <v>-0.0054808286693547</v>
      </c>
      <c r="R228" s="31" t="n">
        <v>1200</v>
      </c>
      <c r="S228" s="31" t="n">
        <v>200</v>
      </c>
      <c r="T228" s="31" t="inlineStr">
        <is>
          <t>C</t>
        </is>
      </c>
      <c r="U228" s="31" t="inlineStr">
        <is>
          <t>Balanced</t>
        </is>
      </c>
      <c r="V228" s="31" t="inlineStr">
        <is>
          <t>NEW DEVELOPMENT RESULT</t>
        </is>
      </c>
      <c r="W228" s="31" t="n">
        <v>0.0011124975914488</v>
      </c>
    </row>
    <row r="229" ht="24" customHeight="1">
      <c r="A229" s="31" t="inlineStr">
        <is>
          <t>D013__DTT__8103</t>
        </is>
      </c>
      <c r="B229" s="31" t="inlineStr">
        <is>
          <t>D013</t>
        </is>
      </c>
      <c r="C229" s="31" t="inlineStr">
        <is>
          <t>DTT</t>
        </is>
      </c>
      <c r="D229" s="31" t="n">
        <v>8103</v>
      </c>
      <c r="E229" s="31" t="n">
        <v>597</v>
      </c>
      <c r="F229" s="33" t="n">
        <v>433.6901172529313</v>
      </c>
      <c r="G229" s="33" t="n">
        <v>1165.293864972154</v>
      </c>
      <c r="H229" s="33" t="n">
        <v>3591.577554438861</v>
      </c>
      <c r="I229" s="33" t="n">
        <v>589.5999999999998</v>
      </c>
      <c r="J229" s="33" t="n">
        <v>0.4304857621440536</v>
      </c>
      <c r="K229" s="33" t="n">
        <v>237.1278195488722</v>
      </c>
      <c r="L229" s="33" t="n">
        <v>579.5052829970828</v>
      </c>
      <c r="M229" s="33" t="n">
        <v>926903.045304212</v>
      </c>
      <c r="N229" s="33" t="n">
        <v>135098</v>
      </c>
      <c r="O229" s="34" t="n">
        <v>0.637058609392064</v>
      </c>
      <c r="P229" s="34" t="n">
        <v>0.177393519500971</v>
      </c>
      <c r="Q229" s="34" t="n">
        <v>0.0471061557360992</v>
      </c>
      <c r="R229" s="31" t="n">
        <v>1200</v>
      </c>
      <c r="S229" s="31" t="n">
        <v>200</v>
      </c>
      <c r="T229" s="31" t="inlineStr">
        <is>
          <t>C</t>
        </is>
      </c>
      <c r="U229" s="31" t="inlineStr">
        <is>
          <t>Balanced</t>
        </is>
      </c>
      <c r="V229" s="31" t="inlineStr">
        <is>
          <t>NEW DEVELOPMENT RESULT</t>
        </is>
      </c>
      <c r="W229" s="31" t="n">
        <v>0.0011673606112482</v>
      </c>
    </row>
    <row r="230" ht="24" customHeight="1">
      <c r="A230" s="31" t="inlineStr">
        <is>
          <t>D013__ECO__8101</t>
        </is>
      </c>
      <c r="B230" s="31" t="inlineStr">
        <is>
          <t>D013</t>
        </is>
      </c>
      <c r="C230" s="31" t="inlineStr">
        <is>
          <t>ECO</t>
        </is>
      </c>
      <c r="D230" s="31" t="n">
        <v>8101</v>
      </c>
      <c r="E230" s="31" t="n">
        <v>611</v>
      </c>
      <c r="F230" s="33" t="n">
        <v>623.4991816693945</v>
      </c>
      <c r="G230" s="33" t="n">
        <v>1704.311175476174</v>
      </c>
      <c r="H230" s="33" t="n">
        <v>3648.224549918167</v>
      </c>
      <c r="I230" s="33" t="n">
        <v>998.5</v>
      </c>
      <c r="J230" s="33" t="n">
        <v>0.3306055646481178</v>
      </c>
      <c r="K230" s="33" t="n">
        <v>345.3148148148148</v>
      </c>
      <c r="L230" s="33" t="n">
        <v>875.9519837460491</v>
      </c>
      <c r="M230" s="33" t="n">
        <v>1372443.978071949</v>
      </c>
      <c r="N230" s="33" t="n">
        <v>291605</v>
      </c>
      <c r="O230" s="34" t="n">
        <v>0.2477773929107493</v>
      </c>
      <c r="P230" s="34" t="n">
        <v>0.3118433183495228</v>
      </c>
      <c r="Q230" s="34" t="n">
        <v>-0.1666215270155109</v>
      </c>
      <c r="R230" s="31" t="n">
        <v>1200</v>
      </c>
      <c r="S230" s="31" t="n">
        <v>200</v>
      </c>
      <c r="T230" s="31" t="inlineStr">
        <is>
          <t>C</t>
        </is>
      </c>
      <c r="U230" s="31" t="inlineStr">
        <is>
          <t>Balanced</t>
        </is>
      </c>
      <c r="V230" s="31" t="inlineStr">
        <is>
          <t>NEW DEVELOPMENT RESULT</t>
        </is>
      </c>
      <c r="W230" s="31" t="n">
        <v>0.0008189089463769001</v>
      </c>
    </row>
    <row r="231" ht="24" customHeight="1">
      <c r="A231" s="31" t="inlineStr">
        <is>
          <t>D013__ECO__8102</t>
        </is>
      </c>
      <c r="B231" s="31" t="inlineStr">
        <is>
          <t>D013</t>
        </is>
      </c>
      <c r="C231" s="31" t="inlineStr">
        <is>
          <t>ECO</t>
        </is>
      </c>
      <c r="D231" s="31" t="n">
        <v>8102</v>
      </c>
      <c r="E231" s="31" t="n">
        <v>654</v>
      </c>
      <c r="F231" s="33" t="n">
        <v>722.5137614678899</v>
      </c>
      <c r="G231" s="33" t="n">
        <v>1973.265222200101</v>
      </c>
      <c r="H231" s="33" t="n">
        <v>3651.838394495412</v>
      </c>
      <c r="I231" s="33" t="n">
        <v>1092.35</v>
      </c>
      <c r="J231" s="33" t="n">
        <v>1.022935779816514</v>
      </c>
      <c r="K231" s="33" t="n">
        <v>280.7648578811369</v>
      </c>
      <c r="L231" s="33" t="n">
        <v>698.4020037633684</v>
      </c>
      <c r="M231" s="33" t="n">
        <v>1560797.03077529</v>
      </c>
      <c r="N231" s="33" t="n">
        <v>300680</v>
      </c>
      <c r="O231" s="34" t="n">
        <v>0.1929350761585826</v>
      </c>
      <c r="P231" s="34" t="n">
        <v>0.4388384913868415</v>
      </c>
      <c r="Q231" s="34" t="n">
        <v>-0.1086073211253016</v>
      </c>
      <c r="R231" s="31" t="n">
        <v>1200</v>
      </c>
      <c r="S231" s="31" t="n">
        <v>200</v>
      </c>
      <c r="T231" s="31" t="inlineStr">
        <is>
          <t>C</t>
        </is>
      </c>
      <c r="U231" s="31" t="inlineStr">
        <is>
          <t>Balanced</t>
        </is>
      </c>
      <c r="V231" s="31" t="inlineStr">
        <is>
          <t>NEW DEVELOPMENT RESULT</t>
        </is>
      </c>
      <c r="W231" s="31" t="n">
        <v>0.0007773717779374001</v>
      </c>
    </row>
    <row r="232" ht="24" customHeight="1">
      <c r="A232" s="31" t="inlineStr">
        <is>
          <t>D013__ECO__8103</t>
        </is>
      </c>
      <c r="B232" s="31" t="inlineStr">
        <is>
          <t>D013</t>
        </is>
      </c>
      <c r="C232" s="31" t="inlineStr">
        <is>
          <t>ECO</t>
        </is>
      </c>
      <c r="D232" s="31" t="n">
        <v>8103</v>
      </c>
      <c r="E232" s="31" t="n">
        <v>597</v>
      </c>
      <c r="F232" s="33" t="n">
        <v>574.7303182579565</v>
      </c>
      <c r="G232" s="33" t="n">
        <v>1577.39136596663</v>
      </c>
      <c r="H232" s="33" t="n">
        <v>3584.617587939699</v>
      </c>
      <c r="I232" s="33" t="n">
        <v>849.1999999999999</v>
      </c>
      <c r="J232" s="33" t="n">
        <v>0.4304857621440536</v>
      </c>
      <c r="K232" s="33" t="n">
        <v>266.421052631579</v>
      </c>
      <c r="L232" s="33" t="n">
        <v>659.8672848922208</v>
      </c>
      <c r="M232" s="33" t="n">
        <v>1204989.692154074</v>
      </c>
      <c r="N232" s="33" t="n">
        <v>219424</v>
      </c>
      <c r="O232" s="34" t="n">
        <v>0.2672193100085334</v>
      </c>
      <c r="P232" s="34" t="n">
        <v>0.312667495843814</v>
      </c>
      <c r="Q232" s="34" t="n">
        <v>-0.1144771306203216</v>
      </c>
      <c r="R232" s="31" t="n">
        <v>1200</v>
      </c>
      <c r="S232" s="31" t="n">
        <v>200</v>
      </c>
      <c r="T232" s="31" t="inlineStr">
        <is>
          <t>C</t>
        </is>
      </c>
      <c r="U232" s="31" t="inlineStr">
        <is>
          <t>Balanced</t>
        </is>
      </c>
      <c r="V232" s="31" t="inlineStr">
        <is>
          <t>NEW DEVELOPMENT RESULT</t>
        </is>
      </c>
      <c r="W232" s="31" t="n">
        <v>0.0009380005950016</v>
      </c>
    </row>
    <row r="233" ht="24" customHeight="1">
      <c r="A233" s="31" t="inlineStr">
        <is>
          <t>D013__TECO05__8101</t>
        </is>
      </c>
      <c r="B233" s="31" t="inlineStr">
        <is>
          <t>D013</t>
        </is>
      </c>
      <c r="C233" s="31" t="inlineStr">
        <is>
          <t>TECO05</t>
        </is>
      </c>
      <c r="D233" s="31" t="n">
        <v>8101</v>
      </c>
      <c r="E233" s="31" t="n">
        <v>611</v>
      </c>
      <c r="F233" s="33" t="n">
        <v>448.962356792144</v>
      </c>
      <c r="G233" s="33" t="n">
        <v>1210.194211589251</v>
      </c>
      <c r="H233" s="33" t="n">
        <v>3578.208592471359</v>
      </c>
      <c r="I233" s="33" t="n">
        <v>660.5</v>
      </c>
      <c r="J233" s="33" t="n">
        <v>0.3322422258592471</v>
      </c>
      <c r="K233" s="33" t="n">
        <v>236.9867724867725</v>
      </c>
      <c r="L233" s="33" t="n">
        <v>578.6473175174464</v>
      </c>
      <c r="M233" s="33" t="n">
        <v>958157.3493026274</v>
      </c>
      <c r="N233" s="33" t="n">
        <v>161146</v>
      </c>
      <c r="O233" s="34" t="n">
        <v>0.5582372718539865</v>
      </c>
      <c r="P233" s="34" t="n">
        <v>0.2536873039591081</v>
      </c>
      <c r="Q233" s="34" t="n">
        <v>0.0767310138757612</v>
      </c>
      <c r="R233" s="31" t="n">
        <v>1200</v>
      </c>
      <c r="S233" s="31" t="n">
        <v>200</v>
      </c>
      <c r="T233" s="31" t="inlineStr">
        <is>
          <t>C</t>
        </is>
      </c>
      <c r="U233" s="31" t="inlineStr">
        <is>
          <t>Balanced</t>
        </is>
      </c>
      <c r="V233" s="31" t="inlineStr">
        <is>
          <t>NEW DEVELOPMENT RESULT</t>
        </is>
      </c>
      <c r="W233" s="31" t="n">
        <v>0.0010849997724039</v>
      </c>
    </row>
    <row r="234" ht="24" customHeight="1">
      <c r="A234" s="31" t="inlineStr">
        <is>
          <t>D013__TECO05__8102</t>
        </is>
      </c>
      <c r="B234" s="31" t="inlineStr">
        <is>
          <t>D013</t>
        </is>
      </c>
      <c r="C234" s="31" t="inlineStr">
        <is>
          <t>TECO05</t>
        </is>
      </c>
      <c r="D234" s="31" t="n">
        <v>8102</v>
      </c>
      <c r="E234" s="31" t="n">
        <v>654</v>
      </c>
      <c r="F234" s="33" t="n">
        <v>493.5733944954129</v>
      </c>
      <c r="G234" s="33" t="n">
        <v>1348.038446999953</v>
      </c>
      <c r="H234" s="33" t="n">
        <v>3591.531727828746</v>
      </c>
      <c r="I234" s="33" t="n">
        <v>709.35</v>
      </c>
      <c r="J234" s="33" t="n">
        <v>0.6146788990825688</v>
      </c>
      <c r="K234" s="33" t="n">
        <v>238.9198966408269</v>
      </c>
      <c r="L234" s="33" t="n">
        <v>584.2797541070702</v>
      </c>
      <c r="M234" s="33" t="n">
        <v>1107733.409177405</v>
      </c>
      <c r="N234" s="33" t="n">
        <v>171684</v>
      </c>
      <c r="O234" s="34" t="n">
        <v>0.6123104173585742</v>
      </c>
      <c r="P234" s="34" t="n">
        <v>0.2173515022394604</v>
      </c>
      <c r="Q234" s="34" t="n">
        <v>-0.045361311037371</v>
      </c>
      <c r="R234" s="31" t="n">
        <v>1200</v>
      </c>
      <c r="S234" s="31" t="n">
        <v>200</v>
      </c>
      <c r="T234" s="31" t="inlineStr">
        <is>
          <t>C</t>
        </is>
      </c>
      <c r="U234" s="31" t="inlineStr">
        <is>
          <t>Balanced</t>
        </is>
      </c>
      <c r="V234" s="31" t="inlineStr">
        <is>
          <t>NEW DEVELOPMENT RESULT</t>
        </is>
      </c>
      <c r="W234" s="31" t="n">
        <v>0.0010588740344427</v>
      </c>
    </row>
    <row r="235" ht="24" customHeight="1">
      <c r="A235" s="31" t="inlineStr">
        <is>
          <t>D013__TECO05__8103</t>
        </is>
      </c>
      <c r="B235" s="31" t="inlineStr">
        <is>
          <t>D013</t>
        </is>
      </c>
      <c r="C235" s="31" t="inlineStr">
        <is>
          <t>TECO05</t>
        </is>
      </c>
      <c r="D235" s="31" t="n">
        <v>8103</v>
      </c>
      <c r="E235" s="31" t="n">
        <v>597</v>
      </c>
      <c r="F235" s="33" t="n">
        <v>430.3149078726968</v>
      </c>
      <c r="G235" s="33" t="n">
        <v>1160.067154768134</v>
      </c>
      <c r="H235" s="33" t="n">
        <v>3578.433182579563</v>
      </c>
      <c r="I235" s="33" t="n">
        <v>589.5999999999998</v>
      </c>
      <c r="J235" s="33" t="n">
        <v>0.4304857621440536</v>
      </c>
      <c r="K235" s="33" t="n">
        <v>237.1378446115288</v>
      </c>
      <c r="L235" s="33" t="n">
        <v>579.487036640758</v>
      </c>
      <c r="M235" s="33" t="n">
        <v>923775.4190162384</v>
      </c>
      <c r="N235" s="33" t="n">
        <v>134656</v>
      </c>
      <c r="O235" s="34" t="n">
        <v>0.6087328767123288</v>
      </c>
      <c r="P235" s="34" t="n">
        <v>0.1935283102768577</v>
      </c>
      <c r="Q235" s="34" t="n">
        <v>0.0455929078256245</v>
      </c>
      <c r="R235" s="31" t="n">
        <v>1200</v>
      </c>
      <c r="S235" s="31" t="n">
        <v>200</v>
      </c>
      <c r="T235" s="31" t="inlineStr">
        <is>
          <t>C</t>
        </is>
      </c>
      <c r="U235" s="31" t="inlineStr">
        <is>
          <t>Balanced</t>
        </is>
      </c>
      <c r="V235" s="31" t="inlineStr">
        <is>
          <t>NEW DEVELOPMENT RESULT</t>
        </is>
      </c>
      <c r="W235" s="31" t="n">
        <v>0.0011683742625303</v>
      </c>
    </row>
    <row r="236" ht="24" customHeight="1">
      <c r="A236" s="31" t="inlineStr">
        <is>
          <t>D013__TECO10__8101</t>
        </is>
      </c>
      <c r="B236" s="31" t="inlineStr">
        <is>
          <t>D013</t>
        </is>
      </c>
      <c r="C236" s="31" t="inlineStr">
        <is>
          <t>TECO10</t>
        </is>
      </c>
      <c r="D236" s="31" t="n">
        <v>8101</v>
      </c>
      <c r="E236" s="31" t="n">
        <v>611</v>
      </c>
      <c r="F236" s="33" t="n">
        <v>472.9067103109657</v>
      </c>
      <c r="G236" s="33" t="n">
        <v>1293.613470023332</v>
      </c>
      <c r="H236" s="33" t="n">
        <v>3578.196628477905</v>
      </c>
      <c r="I236" s="33" t="n">
        <v>662.5</v>
      </c>
      <c r="J236" s="33" t="n">
        <v>0.3306055646481178</v>
      </c>
      <c r="K236" s="33" t="n">
        <v>236.9867724867725</v>
      </c>
      <c r="L236" s="33" t="n">
        <v>578.5610294080593</v>
      </c>
      <c r="M236" s="33" t="n">
        <v>1009093.899300502</v>
      </c>
      <c r="N236" s="33" t="n">
        <v>175130</v>
      </c>
      <c r="O236" s="34" t="n">
        <v>0.3268052384957347</v>
      </c>
      <c r="P236" s="34" t="n">
        <v>0.2362999867045495</v>
      </c>
      <c r="Q236" s="34" t="n">
        <v>0.0062900521301748</v>
      </c>
      <c r="R236" s="31" t="n">
        <v>1200</v>
      </c>
      <c r="S236" s="31" t="n">
        <v>200</v>
      </c>
      <c r="T236" s="31" t="inlineStr">
        <is>
          <t>C</t>
        </is>
      </c>
      <c r="U236" s="31" t="inlineStr">
        <is>
          <t>Balanced</t>
        </is>
      </c>
      <c r="V236" s="31" t="inlineStr">
        <is>
          <t>NEW DEVELOPMENT RESULT</t>
        </is>
      </c>
      <c r="W236" s="31" t="n">
        <v>0.001033932516374</v>
      </c>
    </row>
    <row r="237" ht="24" customHeight="1">
      <c r="A237" s="31" t="inlineStr">
        <is>
          <t>D013__TECO10__8102</t>
        </is>
      </c>
      <c r="B237" s="31" t="inlineStr">
        <is>
          <t>D013</t>
        </is>
      </c>
      <c r="C237" s="31" t="inlineStr">
        <is>
          <t>TECO10</t>
        </is>
      </c>
      <c r="D237" s="31" t="n">
        <v>8102</v>
      </c>
      <c r="E237" s="31" t="n">
        <v>654</v>
      </c>
      <c r="F237" s="33" t="n">
        <v>505.2400611620795</v>
      </c>
      <c r="G237" s="33" t="n">
        <v>1392.626708133942</v>
      </c>
      <c r="H237" s="33" t="n">
        <v>3515.41870030581</v>
      </c>
      <c r="I237" s="33" t="n">
        <v>812.7</v>
      </c>
      <c r="J237" s="33" t="n">
        <v>0.6146788990825688</v>
      </c>
      <c r="K237" s="33" t="n">
        <v>238.7777777777778</v>
      </c>
      <c r="L237" s="33" t="n">
        <v>583.9838383188488</v>
      </c>
      <c r="M237" s="33" t="n">
        <v>1136779.612548993</v>
      </c>
      <c r="N237" s="33" t="n">
        <v>184514</v>
      </c>
      <c r="O237" s="34" t="n">
        <v>0.3744276153575202</v>
      </c>
      <c r="P237" s="34" t="n">
        <v>0.247836948003312</v>
      </c>
      <c r="Q237" s="34" t="n">
        <v>0.0194332267739036</v>
      </c>
      <c r="R237" s="31" t="n">
        <v>1200</v>
      </c>
      <c r="S237" s="31" t="n">
        <v>200</v>
      </c>
      <c r="T237" s="31" t="inlineStr">
        <is>
          <t>C</t>
        </is>
      </c>
      <c r="U237" s="31" t="inlineStr">
        <is>
          <t>Balanced</t>
        </is>
      </c>
      <c r="V237" s="31" t="inlineStr">
        <is>
          <t>NEW DEVELOPMENT RESULT</t>
        </is>
      </c>
      <c r="W237" s="31" t="n">
        <v>0.0009986646741179</v>
      </c>
    </row>
    <row r="238" ht="24" customHeight="1">
      <c r="A238" s="31" t="inlineStr">
        <is>
          <t>D013__TECO10__8103</t>
        </is>
      </c>
      <c r="B238" s="31" t="inlineStr">
        <is>
          <t>D013</t>
        </is>
      </c>
      <c r="C238" s="31" t="inlineStr">
        <is>
          <t>TECO10</t>
        </is>
      </c>
      <c r="D238" s="31" t="n">
        <v>8103</v>
      </c>
      <c r="E238" s="31" t="n">
        <v>597</v>
      </c>
      <c r="F238" s="33" t="n">
        <v>492.6247906197655</v>
      </c>
      <c r="G238" s="33" t="n">
        <v>1343.85372159783</v>
      </c>
      <c r="H238" s="33" t="n">
        <v>3635.128023450587</v>
      </c>
      <c r="I238" s="33" t="n">
        <v>760.1999999999999</v>
      </c>
      <c r="J238" s="33" t="n">
        <v>0.4304857621440536</v>
      </c>
      <c r="K238" s="33" t="n">
        <v>237.2255639097744</v>
      </c>
      <c r="L238" s="33" t="n">
        <v>579.7824113816667</v>
      </c>
      <c r="M238" s="33" t="n">
        <v>1033613.853935189</v>
      </c>
      <c r="N238" s="33" t="n">
        <v>163055</v>
      </c>
      <c r="O238" s="34" t="n">
        <v>0.3391408114558472</v>
      </c>
      <c r="P238" s="34" t="n">
        <v>0.2424222145418084</v>
      </c>
      <c r="Q238" s="34" t="n">
        <v>-0.0073421424729532</v>
      </c>
      <c r="R238" s="31" t="n">
        <v>1200</v>
      </c>
      <c r="S238" s="31" t="n">
        <v>200</v>
      </c>
      <c r="T238" s="31" t="inlineStr">
        <is>
          <t>C</t>
        </is>
      </c>
      <c r="U238" s="31" t="inlineStr">
        <is>
          <t>Balanced</t>
        </is>
      </c>
      <c r="V238" s="31" t="inlineStr">
        <is>
          <t>NEW DEVELOPMENT RESULT</t>
        </is>
      </c>
      <c r="W238" s="31" t="n">
        <v>0.0010551180147305</v>
      </c>
    </row>
    <row r="239" ht="24" customHeight="1">
      <c r="A239" s="31" t="inlineStr">
        <is>
          <t>D013__TECO15__8101</t>
        </is>
      </c>
      <c r="B239" s="31" t="inlineStr">
        <is>
          <t>D013</t>
        </is>
      </c>
      <c r="C239" s="31" t="inlineStr">
        <is>
          <t>TECO15</t>
        </is>
      </c>
      <c r="D239" s="31" t="n">
        <v>8101</v>
      </c>
      <c r="E239" s="31" t="n">
        <v>611</v>
      </c>
      <c r="F239" s="33" t="n">
        <v>635.9083469721768</v>
      </c>
      <c r="G239" s="33" t="n">
        <v>1752.846418757942</v>
      </c>
      <c r="H239" s="33" t="n">
        <v>3641.733502454992</v>
      </c>
      <c r="I239" s="33" t="n">
        <v>985.5</v>
      </c>
      <c r="J239" s="33" t="n">
        <v>0.3306055646481178</v>
      </c>
      <c r="K239" s="33" t="n">
        <v>236.9867724867725</v>
      </c>
      <c r="L239" s="33" t="n">
        <v>578.5709196337067</v>
      </c>
      <c r="M239" s="33" t="n">
        <v>1289688.969482644</v>
      </c>
      <c r="N239" s="33" t="n">
        <v>253476</v>
      </c>
      <c r="O239" s="34" t="n">
        <v>0.2167556277558598</v>
      </c>
      <c r="P239" s="34" t="n">
        <v>0.2350644423396312</v>
      </c>
      <c r="Q239" s="34" t="n">
        <v>-0.0504928307889803</v>
      </c>
      <c r="R239" s="31" t="n">
        <v>1200</v>
      </c>
      <c r="S239" s="31" t="n">
        <v>200</v>
      </c>
      <c r="T239" s="31" t="inlineStr">
        <is>
          <t>C</t>
        </is>
      </c>
      <c r="U239" s="31" t="inlineStr">
        <is>
          <t>Balanced</t>
        </is>
      </c>
      <c r="V239" s="31" t="inlineStr">
        <is>
          <t>NEW DEVELOPMENT RESULT</t>
        </is>
      </c>
      <c r="W239" s="31" t="n">
        <v>0.0008486245633119</v>
      </c>
    </row>
    <row r="240" ht="24" customHeight="1">
      <c r="A240" s="31" t="inlineStr">
        <is>
          <t>D013__TECO15__8102</t>
        </is>
      </c>
      <c r="B240" s="31" t="inlineStr">
        <is>
          <t>D013</t>
        </is>
      </c>
      <c r="C240" s="31" t="inlineStr">
        <is>
          <t>TECO15</t>
        </is>
      </c>
      <c r="D240" s="31" t="n">
        <v>8102</v>
      </c>
      <c r="E240" s="31" t="n">
        <v>654</v>
      </c>
      <c r="F240" s="33" t="n">
        <v>527.3960244648318</v>
      </c>
      <c r="G240" s="33" t="n">
        <v>1475.192245397526</v>
      </c>
      <c r="H240" s="33" t="n">
        <v>3418.609296636086</v>
      </c>
      <c r="I240" s="33" t="n">
        <v>812.7</v>
      </c>
      <c r="J240" s="33" t="n">
        <v>0.6146788990825688</v>
      </c>
      <c r="K240" s="33" t="n">
        <v>238.7777777777778</v>
      </c>
      <c r="L240" s="33" t="n">
        <v>583.9838383188488</v>
      </c>
      <c r="M240" s="33" t="n">
        <v>1190777.473919376</v>
      </c>
      <c r="N240" s="33" t="n">
        <v>205378</v>
      </c>
      <c r="O240" s="34" t="n">
        <v>0.2469715698393078</v>
      </c>
      <c r="P240" s="34" t="n">
        <v>0.2279783133073038</v>
      </c>
      <c r="Q240" s="34" t="n">
        <v>-0.0395985437517761</v>
      </c>
      <c r="R240" s="31" t="n">
        <v>1200</v>
      </c>
      <c r="S240" s="31" t="n">
        <v>200</v>
      </c>
      <c r="T240" s="31" t="inlineStr">
        <is>
          <t>C</t>
        </is>
      </c>
      <c r="U240" s="31" t="inlineStr">
        <is>
          <t>Balanced</t>
        </is>
      </c>
      <c r="V240" s="31" t="inlineStr">
        <is>
          <t>NEW DEVELOPMENT RESULT</t>
        </is>
      </c>
      <c r="W240" s="31" t="n">
        <v>0.0009826205634679999</v>
      </c>
    </row>
    <row r="241" ht="24" customHeight="1">
      <c r="A241" s="31" t="inlineStr">
        <is>
          <t>D013__TECO15__8103</t>
        </is>
      </c>
      <c r="B241" s="31" t="inlineStr">
        <is>
          <t>D013</t>
        </is>
      </c>
      <c r="C241" s="31" t="inlineStr">
        <is>
          <t>TECO15</t>
        </is>
      </c>
      <c r="D241" s="31" t="n">
        <v>8103</v>
      </c>
      <c r="E241" s="31" t="n">
        <v>597</v>
      </c>
      <c r="F241" s="33" t="n">
        <v>468.5778894472362</v>
      </c>
      <c r="G241" s="33" t="n">
        <v>1281.46318634622</v>
      </c>
      <c r="H241" s="33" t="n">
        <v>3619.551658291457</v>
      </c>
      <c r="I241" s="33" t="n">
        <v>676.1999999999999</v>
      </c>
      <c r="J241" s="33" t="n">
        <v>0.4137353433835846</v>
      </c>
      <c r="K241" s="33" t="n">
        <v>237.0852130325814</v>
      </c>
      <c r="L241" s="33" t="n">
        <v>579.215657108623</v>
      </c>
      <c r="M241" s="33" t="n">
        <v>996140.5694350336</v>
      </c>
      <c r="N241" s="33" t="n">
        <v>152396</v>
      </c>
      <c r="O241" s="34" t="n">
        <v>0.2164615935969418</v>
      </c>
      <c r="P241" s="34" t="n">
        <v>0.1995539777174603</v>
      </c>
      <c r="Q241" s="34" t="n">
        <v>-0.0495008167256161</v>
      </c>
      <c r="R241" s="31" t="n">
        <v>1200</v>
      </c>
      <c r="S241" s="31" t="n">
        <v>200</v>
      </c>
      <c r="T241" s="31" t="inlineStr">
        <is>
          <t>C</t>
        </is>
      </c>
      <c r="U241" s="31" t="inlineStr">
        <is>
          <t>Balanced</t>
        </is>
      </c>
      <c r="V241" s="31" t="inlineStr">
        <is>
          <t>NEW DEVELOPMENT RESULT</t>
        </is>
      </c>
      <c r="W241" s="31" t="n">
        <v>0.0010827864286526</v>
      </c>
    </row>
    <row r="242" ht="24" customHeight="1">
      <c r="A242" s="31" t="inlineStr">
        <is>
          <t>D014__SP__8101</t>
        </is>
      </c>
      <c r="B242" s="31" t="inlineStr">
        <is>
          <t>D014</t>
        </is>
      </c>
      <c r="C242" s="31" t="inlineStr">
        <is>
          <t>SP</t>
        </is>
      </c>
      <c r="D242" s="31" t="n">
        <v>8101</v>
      </c>
      <c r="E242" s="31" t="n">
        <v>611</v>
      </c>
      <c r="F242" s="33" t="n">
        <v>423.2945990180033</v>
      </c>
      <c r="G242" s="33" t="n">
        <v>1193.598740913618</v>
      </c>
      <c r="H242" s="33" t="n">
        <v>3203.72</v>
      </c>
      <c r="I242" s="33" t="n">
        <v>487</v>
      </c>
      <c r="J242" s="33" t="n">
        <v>0.3322422258592471</v>
      </c>
      <c r="K242" s="33" t="n">
        <v>246.9867724867725</v>
      </c>
      <c r="L242" s="33" t="n">
        <v>607.6499770611385</v>
      </c>
      <c r="M242" s="33" t="n">
        <v>958980.5220273308</v>
      </c>
      <c r="N242" s="33" t="n">
        <v>146412</v>
      </c>
      <c r="O242" s="34" t="n">
        <v>0</v>
      </c>
      <c r="P242" s="34" t="n">
        <v>0.0918995404077296</v>
      </c>
      <c r="Q242" s="34" t="n">
        <v>0.0242097174787069</v>
      </c>
      <c r="R242" s="31" t="n">
        <v>1200</v>
      </c>
      <c r="S242" s="31" t="n">
        <v>200</v>
      </c>
      <c r="T242" s="31" t="inlineStr">
        <is>
          <t>C</t>
        </is>
      </c>
      <c r="U242" s="31" t="inlineStr">
        <is>
          <t>Arterial</t>
        </is>
      </c>
      <c r="V242" s="31" t="inlineStr">
        <is>
          <t>NEW DEVELOPMENT RESULT</t>
        </is>
      </c>
      <c r="W242" s="31" t="n">
        <v>0.0012111445670263</v>
      </c>
    </row>
    <row r="243" ht="24" customHeight="1">
      <c r="A243" s="31" t="inlineStr">
        <is>
          <t>D014__SP__8102</t>
        </is>
      </c>
      <c r="B243" s="31" t="inlineStr">
        <is>
          <t>D014</t>
        </is>
      </c>
      <c r="C243" s="31" t="inlineStr">
        <is>
          <t>SP</t>
        </is>
      </c>
      <c r="D243" s="31" t="n">
        <v>8102</v>
      </c>
      <c r="E243" s="31" t="n">
        <v>654</v>
      </c>
      <c r="F243" s="33" t="n">
        <v>443.0978593272171</v>
      </c>
      <c r="G243" s="33" t="n">
        <v>1263.309864756508</v>
      </c>
      <c r="H243" s="33" t="n">
        <v>3203.72</v>
      </c>
      <c r="I243" s="33" t="n">
        <v>498</v>
      </c>
      <c r="J243" s="33" t="n">
        <v>0.6146788990825688</v>
      </c>
      <c r="K243" s="33" t="n">
        <v>249.0180878552972</v>
      </c>
      <c r="L243" s="33" t="n">
        <v>613.1871982528231</v>
      </c>
      <c r="M243" s="33" t="n">
        <v>1063508.097274599</v>
      </c>
      <c r="N243" s="33" t="n">
        <v>157504</v>
      </c>
      <c r="O243" s="34" t="n">
        <v>0</v>
      </c>
      <c r="P243" s="34" t="n">
        <v>0.0944290244411994</v>
      </c>
      <c r="Q243" s="34" t="n">
        <v>-0.0207858151300768</v>
      </c>
      <c r="R243" s="31" t="n">
        <v>1200</v>
      </c>
      <c r="S243" s="31" t="n">
        <v>200</v>
      </c>
      <c r="T243" s="31" t="inlineStr">
        <is>
          <t>C</t>
        </is>
      </c>
      <c r="U243" s="31" t="inlineStr">
        <is>
          <t>Arterial</t>
        </is>
      </c>
      <c r="V243" s="31" t="inlineStr">
        <is>
          <t>NEW DEVELOPMENT RESULT</t>
        </is>
      </c>
      <c r="W243" s="31" t="n">
        <v>0.0011785065732557</v>
      </c>
    </row>
    <row r="244" ht="24" customHeight="1">
      <c r="A244" s="31" t="inlineStr">
        <is>
          <t>D014__SP__8103</t>
        </is>
      </c>
      <c r="B244" s="31" t="inlineStr">
        <is>
          <t>D014</t>
        </is>
      </c>
      <c r="C244" s="31" t="inlineStr">
        <is>
          <t>SP</t>
        </is>
      </c>
      <c r="D244" s="31" t="n">
        <v>8103</v>
      </c>
      <c r="E244" s="31" t="n">
        <v>597</v>
      </c>
      <c r="F244" s="33" t="n">
        <v>377.857621440536</v>
      </c>
      <c r="G244" s="33" t="n">
        <v>1036.329388979446</v>
      </c>
      <c r="H244" s="33" t="n">
        <v>3203.72</v>
      </c>
      <c r="I244" s="33" t="n">
        <v>484</v>
      </c>
      <c r="J244" s="33" t="n">
        <v>0.4304857621440536</v>
      </c>
      <c r="K244" s="33" t="n">
        <v>247.0275689223058</v>
      </c>
      <c r="L244" s="33" t="n">
        <v>607.6764235974201</v>
      </c>
      <c r="M244" s="33" t="n">
        <v>861151.5382360999</v>
      </c>
      <c r="N244" s="33" t="n">
        <v>114234</v>
      </c>
      <c r="O244" s="34" t="n">
        <v>0</v>
      </c>
      <c r="P244" s="34" t="n">
        <v>0.1312467971703106</v>
      </c>
      <c r="Q244" s="34" t="n">
        <v>0.0133990657803078</v>
      </c>
      <c r="R244" s="31" t="n">
        <v>1200</v>
      </c>
      <c r="S244" s="31" t="n">
        <v>200</v>
      </c>
      <c r="T244" s="31" t="inlineStr">
        <is>
          <t>C</t>
        </is>
      </c>
      <c r="U244" s="31" t="inlineStr">
        <is>
          <t>Arterial</t>
        </is>
      </c>
      <c r="V244" s="31" t="inlineStr">
        <is>
          <t>NEW DEVELOPMENT RESULT</t>
        </is>
      </c>
      <c r="W244" s="31" t="n">
        <v>0.0013487089893836</v>
      </c>
    </row>
    <row r="245" ht="24" customHeight="1">
      <c r="A245" s="31" t="inlineStr">
        <is>
          <t>D014__DTT__8101</t>
        </is>
      </c>
      <c r="B245" s="31" t="inlineStr">
        <is>
          <t>D014</t>
        </is>
      </c>
      <c r="C245" s="31" t="inlineStr">
        <is>
          <t>DTT</t>
        </is>
      </c>
      <c r="D245" s="31" t="n">
        <v>8101</v>
      </c>
      <c r="E245" s="31" t="n">
        <v>611</v>
      </c>
      <c r="F245" s="33" t="n">
        <v>426.1865793780688</v>
      </c>
      <c r="G245" s="33" t="n">
        <v>1122.701438374412</v>
      </c>
      <c r="H245" s="33" t="n">
        <v>3480.50744680851</v>
      </c>
      <c r="I245" s="33" t="n">
        <v>822</v>
      </c>
      <c r="J245" s="33" t="n">
        <v>0.3322422258592471</v>
      </c>
      <c r="K245" s="33" t="n">
        <v>246.9867724867725</v>
      </c>
      <c r="L245" s="33" t="n">
        <v>607.6499770611385</v>
      </c>
      <c r="M245" s="33" t="n">
        <v>915662.2701758762</v>
      </c>
      <c r="N245" s="33" t="n">
        <v>138491</v>
      </c>
      <c r="O245" s="34" t="n">
        <v>0.5393471659919028</v>
      </c>
      <c r="P245" s="34" t="n">
        <v>0.2690265371151275</v>
      </c>
      <c r="Q245" s="34" t="n">
        <v>-0.0534700480132471</v>
      </c>
      <c r="R245" s="31" t="n">
        <v>1200</v>
      </c>
      <c r="S245" s="31" t="n">
        <v>200</v>
      </c>
      <c r="T245" s="31" t="inlineStr">
        <is>
          <t>C</t>
        </is>
      </c>
      <c r="U245" s="31" t="inlineStr">
        <is>
          <t>Arterial</t>
        </is>
      </c>
      <c r="V245" s="31" t="inlineStr">
        <is>
          <t>NEW DEVELOPMENT RESULT</t>
        </is>
      </c>
      <c r="W245" s="31" t="n">
        <v>0.0012207289164111</v>
      </c>
    </row>
    <row r="246" ht="24" customHeight="1">
      <c r="A246" s="31" t="inlineStr">
        <is>
          <t>D014__DTT__8102</t>
        </is>
      </c>
      <c r="B246" s="31" t="inlineStr">
        <is>
          <t>D014</t>
        </is>
      </c>
      <c r="C246" s="31" t="inlineStr">
        <is>
          <t>DTT</t>
        </is>
      </c>
      <c r="D246" s="31" t="n">
        <v>8102</v>
      </c>
      <c r="E246" s="31" t="n">
        <v>654</v>
      </c>
      <c r="F246" s="33" t="n">
        <v>393.5519877675841</v>
      </c>
      <c r="G246" s="33" t="n">
        <v>1047.839998523032</v>
      </c>
      <c r="H246" s="33" t="n">
        <v>3419.866070336391</v>
      </c>
      <c r="I246" s="33" t="n">
        <v>708</v>
      </c>
      <c r="J246" s="33" t="n">
        <v>0.6146788990825688</v>
      </c>
      <c r="K246" s="33" t="n">
        <v>249.0180878552972</v>
      </c>
      <c r="L246" s="33" t="n">
        <v>613.1871982528231</v>
      </c>
      <c r="M246" s="33" t="n">
        <v>922590.8047579052</v>
      </c>
      <c r="N246" s="33" t="n">
        <v>122751</v>
      </c>
      <c r="O246" s="34" t="n">
        <v>0.5146141616729852</v>
      </c>
      <c r="P246" s="34" t="n">
        <v>0.1995364684841511</v>
      </c>
      <c r="Q246" s="34" t="n">
        <v>-0.0242367978340357</v>
      </c>
      <c r="R246" s="31" t="n">
        <v>1200</v>
      </c>
      <c r="S246" s="31" t="n">
        <v>200</v>
      </c>
      <c r="T246" s="31" t="inlineStr">
        <is>
          <t>C</t>
        </is>
      </c>
      <c r="U246" s="31" t="inlineStr">
        <is>
          <t>Arterial</t>
        </is>
      </c>
      <c r="V246" s="31" t="inlineStr">
        <is>
          <t>NEW DEVELOPMENT RESULT</t>
        </is>
      </c>
      <c r="W246" s="31" t="n">
        <v>0.0012873206077233</v>
      </c>
    </row>
    <row r="247" ht="24" customHeight="1">
      <c r="A247" s="31" t="inlineStr">
        <is>
          <t>D014__DTT__8103</t>
        </is>
      </c>
      <c r="B247" s="31" t="inlineStr">
        <is>
          <t>D014</t>
        </is>
      </c>
      <c r="C247" s="31" t="inlineStr">
        <is>
          <t>DTT</t>
        </is>
      </c>
      <c r="D247" s="31" t="n">
        <v>8103</v>
      </c>
      <c r="E247" s="31" t="n">
        <v>597</v>
      </c>
      <c r="F247" s="33" t="n">
        <v>390.6030150753769</v>
      </c>
      <c r="G247" s="33" t="n">
        <v>1031.713109074073</v>
      </c>
      <c r="H247" s="33" t="n">
        <v>3458.090083752093</v>
      </c>
      <c r="I247" s="33" t="n">
        <v>684.5999999999998</v>
      </c>
      <c r="J247" s="33" t="n">
        <v>0.4304857621440536</v>
      </c>
      <c r="K247" s="33" t="n">
        <v>247.0275689223058</v>
      </c>
      <c r="L247" s="33" t="n">
        <v>607.6764235974201</v>
      </c>
      <c r="M247" s="33" t="n">
        <v>858395.6191325922</v>
      </c>
      <c r="N247" s="33" t="n">
        <v>112798</v>
      </c>
      <c r="O247" s="34" t="n">
        <v>0.5542295081967213</v>
      </c>
      <c r="P247" s="34" t="n">
        <v>0.2038365675527169</v>
      </c>
      <c r="Q247" s="34" t="n">
        <v>-0.012967596687715</v>
      </c>
      <c r="R247" s="31" t="n">
        <v>1200</v>
      </c>
      <c r="S247" s="31" t="n">
        <v>200</v>
      </c>
      <c r="T247" s="31" t="inlineStr">
        <is>
          <t>C</t>
        </is>
      </c>
      <c r="U247" s="31" t="inlineStr">
        <is>
          <t>Arterial</t>
        </is>
      </c>
      <c r="V247" s="31" t="inlineStr">
        <is>
          <t>NEW DEVELOPMENT RESULT</t>
        </is>
      </c>
      <c r="W247" s="31" t="n">
        <v>0.0013130546046134</v>
      </c>
    </row>
    <row r="248" ht="24" customHeight="1">
      <c r="A248" s="31" t="inlineStr">
        <is>
          <t>D014__ECO__8101</t>
        </is>
      </c>
      <c r="B248" s="31" t="inlineStr">
        <is>
          <t>D014</t>
        </is>
      </c>
      <c r="C248" s="31" t="inlineStr">
        <is>
          <t>ECO</t>
        </is>
      </c>
      <c r="D248" s="31" t="n">
        <v>8101</v>
      </c>
      <c r="E248" s="31" t="n">
        <v>611</v>
      </c>
      <c r="F248" s="33" t="n">
        <v>423.2945990180033</v>
      </c>
      <c r="G248" s="33" t="n">
        <v>1193.598740913618</v>
      </c>
      <c r="H248" s="33" t="n">
        <v>3203.72</v>
      </c>
      <c r="I248" s="33" t="n">
        <v>487</v>
      </c>
      <c r="J248" s="33" t="n">
        <v>0.3322422258592471</v>
      </c>
      <c r="K248" s="33" t="n">
        <v>246.9867724867725</v>
      </c>
      <c r="L248" s="33" t="n">
        <v>607.6499770611385</v>
      </c>
      <c r="M248" s="33" t="n">
        <v>958980.5220273308</v>
      </c>
      <c r="N248" s="33" t="n">
        <v>146412</v>
      </c>
      <c r="O248" s="34" t="n">
        <v>0</v>
      </c>
      <c r="P248" s="34" t="n">
        <v>0.0918995404077296</v>
      </c>
      <c r="Q248" s="34" t="n">
        <v>0.0242097174787069</v>
      </c>
      <c r="R248" s="31" t="n">
        <v>1200</v>
      </c>
      <c r="S248" s="31" t="n">
        <v>200</v>
      </c>
      <c r="T248" s="31" t="inlineStr">
        <is>
          <t>C</t>
        </is>
      </c>
      <c r="U248" s="31" t="inlineStr">
        <is>
          <t>Arterial</t>
        </is>
      </c>
      <c r="V248" s="31" t="inlineStr">
        <is>
          <t>NEW DEVELOPMENT RESULT</t>
        </is>
      </c>
      <c r="W248" s="31" t="n">
        <v>0.0012111445670263</v>
      </c>
    </row>
    <row r="249" ht="24" customHeight="1">
      <c r="A249" s="31" t="inlineStr">
        <is>
          <t>D014__ECO__8102</t>
        </is>
      </c>
      <c r="B249" s="31" t="inlineStr">
        <is>
          <t>D014</t>
        </is>
      </c>
      <c r="C249" s="31" t="inlineStr">
        <is>
          <t>ECO</t>
        </is>
      </c>
      <c r="D249" s="31" t="n">
        <v>8102</v>
      </c>
      <c r="E249" s="31" t="n">
        <v>654</v>
      </c>
      <c r="F249" s="33" t="n">
        <v>443.0978593272171</v>
      </c>
      <c r="G249" s="33" t="n">
        <v>1263.309864756508</v>
      </c>
      <c r="H249" s="33" t="n">
        <v>3203.72</v>
      </c>
      <c r="I249" s="33" t="n">
        <v>498</v>
      </c>
      <c r="J249" s="33" t="n">
        <v>0.6146788990825688</v>
      </c>
      <c r="K249" s="33" t="n">
        <v>249.0180878552972</v>
      </c>
      <c r="L249" s="33" t="n">
        <v>613.1871982528231</v>
      </c>
      <c r="M249" s="33" t="n">
        <v>1063508.097274599</v>
      </c>
      <c r="N249" s="33" t="n">
        <v>157504</v>
      </c>
      <c r="O249" s="34" t="n">
        <v>0</v>
      </c>
      <c r="P249" s="34" t="n">
        <v>0.0944290244411994</v>
      </c>
      <c r="Q249" s="34" t="n">
        <v>-0.0207858151300768</v>
      </c>
      <c r="R249" s="31" t="n">
        <v>1200</v>
      </c>
      <c r="S249" s="31" t="n">
        <v>200</v>
      </c>
      <c r="T249" s="31" t="inlineStr">
        <is>
          <t>C</t>
        </is>
      </c>
      <c r="U249" s="31" t="inlineStr">
        <is>
          <t>Arterial</t>
        </is>
      </c>
      <c r="V249" s="31" t="inlineStr">
        <is>
          <t>NEW DEVELOPMENT RESULT</t>
        </is>
      </c>
      <c r="W249" s="31" t="n">
        <v>0.0011785065732557</v>
      </c>
    </row>
    <row r="250" ht="24" customHeight="1">
      <c r="A250" s="31" t="inlineStr">
        <is>
          <t>D014__ECO__8103</t>
        </is>
      </c>
      <c r="B250" s="31" t="inlineStr">
        <is>
          <t>D014</t>
        </is>
      </c>
      <c r="C250" s="31" t="inlineStr">
        <is>
          <t>ECO</t>
        </is>
      </c>
      <c r="D250" s="31" t="n">
        <v>8103</v>
      </c>
      <c r="E250" s="31" t="n">
        <v>597</v>
      </c>
      <c r="F250" s="33" t="n">
        <v>377.857621440536</v>
      </c>
      <c r="G250" s="33" t="n">
        <v>1036.329388979446</v>
      </c>
      <c r="H250" s="33" t="n">
        <v>3203.72</v>
      </c>
      <c r="I250" s="33" t="n">
        <v>484</v>
      </c>
      <c r="J250" s="33" t="n">
        <v>0.4304857621440536</v>
      </c>
      <c r="K250" s="33" t="n">
        <v>247.0275689223058</v>
      </c>
      <c r="L250" s="33" t="n">
        <v>607.6764235974201</v>
      </c>
      <c r="M250" s="33" t="n">
        <v>861151.5382360999</v>
      </c>
      <c r="N250" s="33" t="n">
        <v>114234</v>
      </c>
      <c r="O250" s="34" t="n">
        <v>0</v>
      </c>
      <c r="P250" s="34" t="n">
        <v>0.1312467971703106</v>
      </c>
      <c r="Q250" s="34" t="n">
        <v>0.0133990657803078</v>
      </c>
      <c r="R250" s="31" t="n">
        <v>1200</v>
      </c>
      <c r="S250" s="31" t="n">
        <v>200</v>
      </c>
      <c r="T250" s="31" t="inlineStr">
        <is>
          <t>C</t>
        </is>
      </c>
      <c r="U250" s="31" t="inlineStr">
        <is>
          <t>Arterial</t>
        </is>
      </c>
      <c r="V250" s="31" t="inlineStr">
        <is>
          <t>NEW DEVELOPMENT RESULT</t>
        </is>
      </c>
      <c r="W250" s="31" t="n">
        <v>0.0013487089893836</v>
      </c>
    </row>
    <row r="251" ht="24" customHeight="1">
      <c r="A251" s="31" t="inlineStr">
        <is>
          <t>D014__TECO05__8101</t>
        </is>
      </c>
      <c r="B251" s="31" t="inlineStr">
        <is>
          <t>D014</t>
        </is>
      </c>
      <c r="C251" s="31" t="inlineStr">
        <is>
          <t>TECO05</t>
        </is>
      </c>
      <c r="D251" s="31" t="n">
        <v>8101</v>
      </c>
      <c r="E251" s="31" t="n">
        <v>611</v>
      </c>
      <c r="F251" s="33" t="n">
        <v>367.7512274959083</v>
      </c>
      <c r="G251" s="33" t="n">
        <v>972.0218722453044</v>
      </c>
      <c r="H251" s="33" t="n">
        <v>3410.705793780688</v>
      </c>
      <c r="I251" s="33" t="n">
        <v>653.5</v>
      </c>
      <c r="J251" s="33" t="n">
        <v>0.3322422258592471</v>
      </c>
      <c r="K251" s="33" t="n">
        <v>246.9867724867725</v>
      </c>
      <c r="L251" s="33" t="n">
        <v>607.6499770611385</v>
      </c>
      <c r="M251" s="33" t="n">
        <v>823597.0552709914</v>
      </c>
      <c r="N251" s="33" t="n">
        <v>110472</v>
      </c>
      <c r="O251" s="34" t="n">
        <v>0.3757400342060255</v>
      </c>
      <c r="P251" s="34" t="n">
        <v>0.1621483027466537</v>
      </c>
      <c r="Q251" s="34" t="n">
        <v>-0.009447545215225299</v>
      </c>
      <c r="R251" s="31" t="n">
        <v>1200</v>
      </c>
      <c r="S251" s="31" t="n">
        <v>200</v>
      </c>
      <c r="T251" s="31" t="inlineStr">
        <is>
          <t>C</t>
        </is>
      </c>
      <c r="U251" s="31" t="inlineStr">
        <is>
          <t>Arterial</t>
        </is>
      </c>
      <c r="V251" s="31" t="inlineStr">
        <is>
          <t>NEW DEVELOPMENT RESULT</t>
        </is>
      </c>
      <c r="W251" s="31" t="n">
        <v>0.0013308727791164</v>
      </c>
    </row>
    <row r="252" ht="24" customHeight="1">
      <c r="A252" s="31" t="inlineStr">
        <is>
          <t>D014__TECO05__8102</t>
        </is>
      </c>
      <c r="B252" s="31" t="inlineStr">
        <is>
          <t>D014</t>
        </is>
      </c>
      <c r="C252" s="31" t="inlineStr">
        <is>
          <t>TECO05</t>
        </is>
      </c>
      <c r="D252" s="31" t="n">
        <v>8102</v>
      </c>
      <c r="E252" s="31" t="n">
        <v>654</v>
      </c>
      <c r="F252" s="33" t="n">
        <v>376.5886850152905</v>
      </c>
      <c r="G252" s="33" t="n">
        <v>999.4590518910881</v>
      </c>
      <c r="H252" s="33" t="n">
        <v>3408.463180428134</v>
      </c>
      <c r="I252" s="33" t="n">
        <v>680.35</v>
      </c>
      <c r="J252" s="33" t="n">
        <v>0.6146788990825688</v>
      </c>
      <c r="K252" s="33" t="n">
        <v>249.0180878552972</v>
      </c>
      <c r="L252" s="33" t="n">
        <v>613.1871982528231</v>
      </c>
      <c r="M252" s="33" t="n">
        <v>890949.6656606141</v>
      </c>
      <c r="N252" s="33" t="n">
        <v>112903</v>
      </c>
      <c r="O252" s="34" t="n">
        <v>0.3757076052178193</v>
      </c>
      <c r="P252" s="34" t="n">
        <v>0.1740270664430961</v>
      </c>
      <c r="Q252" s="34" t="n">
        <v>-0.0440579264084609</v>
      </c>
      <c r="R252" s="31" t="n">
        <v>1200</v>
      </c>
      <c r="S252" s="31" t="n">
        <v>200</v>
      </c>
      <c r="T252" s="31" t="inlineStr">
        <is>
          <t>C</t>
        </is>
      </c>
      <c r="U252" s="31" t="inlineStr">
        <is>
          <t>Arterial</t>
        </is>
      </c>
      <c r="V252" s="31" t="inlineStr">
        <is>
          <t>NEW DEVELOPMENT RESULT</t>
        </is>
      </c>
      <c r="W252" s="31" t="n">
        <v>0.0013222478159075</v>
      </c>
    </row>
    <row r="253" ht="24" customHeight="1">
      <c r="A253" s="31" t="inlineStr">
        <is>
          <t>D014__TECO05__8103</t>
        </is>
      </c>
      <c r="B253" s="31" t="inlineStr">
        <is>
          <t>D014</t>
        </is>
      </c>
      <c r="C253" s="31" t="inlineStr">
        <is>
          <t>TECO05</t>
        </is>
      </c>
      <c r="D253" s="31" t="n">
        <v>8103</v>
      </c>
      <c r="E253" s="31" t="n">
        <v>597</v>
      </c>
      <c r="F253" s="33" t="n">
        <v>368.4840871021776</v>
      </c>
      <c r="G253" s="33" t="n">
        <v>970.3367100139772</v>
      </c>
      <c r="H253" s="33" t="n">
        <v>3382.742278056952</v>
      </c>
      <c r="I253" s="33" t="n">
        <v>664.3999999999999</v>
      </c>
      <c r="J253" s="33" t="n">
        <v>0.4304857621440536</v>
      </c>
      <c r="K253" s="33" t="n">
        <v>247.0275689223058</v>
      </c>
      <c r="L253" s="33" t="n">
        <v>607.6764235974201</v>
      </c>
      <c r="M253" s="33" t="n">
        <v>821753.908893715</v>
      </c>
      <c r="N253" s="33" t="n">
        <v>103569</v>
      </c>
      <c r="O253" s="34" t="n">
        <v>0.3768590530768181</v>
      </c>
      <c r="P253" s="34" t="n">
        <v>0.157155912134696</v>
      </c>
      <c r="Q253" s="34" t="n">
        <v>-0.0417028956438268</v>
      </c>
      <c r="R253" s="31" t="n">
        <v>1200</v>
      </c>
      <c r="S253" s="31" t="n">
        <v>200</v>
      </c>
      <c r="T253" s="31" t="inlineStr">
        <is>
          <t>C</t>
        </is>
      </c>
      <c r="U253" s="31" t="inlineStr">
        <is>
          <t>Arterial</t>
        </is>
      </c>
      <c r="V253" s="31" t="inlineStr">
        <is>
          <t>NEW DEVELOPMENT RESULT</t>
        </is>
      </c>
      <c r="W253" s="31" t="n">
        <v>0.0013798383973516</v>
      </c>
    </row>
    <row r="254" ht="24" customHeight="1">
      <c r="A254" s="31" t="inlineStr">
        <is>
          <t>D014__TECO10__8101</t>
        </is>
      </c>
      <c r="B254" s="31" t="inlineStr">
        <is>
          <t>D014</t>
        </is>
      </c>
      <c r="C254" s="31" t="inlineStr">
        <is>
          <t>TECO10</t>
        </is>
      </c>
      <c r="D254" s="31" t="n">
        <v>8101</v>
      </c>
      <c r="E254" s="31" t="n">
        <v>611</v>
      </c>
      <c r="F254" s="33" t="n">
        <v>363.5122749590834</v>
      </c>
      <c r="G254" s="33" t="n">
        <v>970.938314039236</v>
      </c>
      <c r="H254" s="33" t="n">
        <v>3355.486366612111</v>
      </c>
      <c r="I254" s="33" t="n">
        <v>657.5</v>
      </c>
      <c r="J254" s="33" t="n">
        <v>0.3322422258592471</v>
      </c>
      <c r="K254" s="33" t="n">
        <v>254.0555555555556</v>
      </c>
      <c r="L254" s="33" t="n">
        <v>626.9551690978521</v>
      </c>
      <c r="M254" s="33" t="n">
        <v>830232.3637969613</v>
      </c>
      <c r="N254" s="33" t="n">
        <v>114035</v>
      </c>
      <c r="O254" s="34" t="n">
        <v>0.2833920346789488</v>
      </c>
      <c r="P254" s="34" t="n">
        <v>0.1692323316039435</v>
      </c>
      <c r="Q254" s="34" t="n">
        <v>-0.0176119657357207</v>
      </c>
      <c r="R254" s="31" t="n">
        <v>1200</v>
      </c>
      <c r="S254" s="31" t="n">
        <v>200</v>
      </c>
      <c r="T254" s="31" t="inlineStr">
        <is>
          <t>C</t>
        </is>
      </c>
      <c r="U254" s="31" t="inlineStr">
        <is>
          <t>Arterial</t>
        </is>
      </c>
      <c r="V254" s="31" t="inlineStr">
        <is>
          <t>NEW DEVELOPMENT RESULT</t>
        </is>
      </c>
      <c r="W254" s="31" t="n">
        <v>0.0013275956996416</v>
      </c>
    </row>
    <row r="255" ht="24" customHeight="1">
      <c r="A255" s="31" t="inlineStr">
        <is>
          <t>D014__TECO10__8102</t>
        </is>
      </c>
      <c r="B255" s="31" t="inlineStr">
        <is>
          <t>D014</t>
        </is>
      </c>
      <c r="C255" s="31" t="inlineStr">
        <is>
          <t>TECO10</t>
        </is>
      </c>
      <c r="D255" s="31" t="n">
        <v>8102</v>
      </c>
      <c r="E255" s="31" t="n">
        <v>654</v>
      </c>
      <c r="F255" s="33" t="n">
        <v>373.34250764526</v>
      </c>
      <c r="G255" s="33" t="n">
        <v>991.2992568879366</v>
      </c>
      <c r="H255" s="33" t="n">
        <v>3353.781529051987</v>
      </c>
      <c r="I255" s="33" t="n">
        <v>680.35</v>
      </c>
      <c r="J255" s="33" t="n">
        <v>0.6146788990825688</v>
      </c>
      <c r="K255" s="33" t="n">
        <v>249.0180878552972</v>
      </c>
      <c r="L255" s="33" t="n">
        <v>613.1871982528231</v>
      </c>
      <c r="M255" s="33" t="n">
        <v>885613.1597285529</v>
      </c>
      <c r="N255" s="33" t="n">
        <v>113530</v>
      </c>
      <c r="O255" s="34" t="n">
        <v>0.3023550265890098</v>
      </c>
      <c r="P255" s="34" t="n">
        <v>0.1518470085290818</v>
      </c>
      <c r="Q255" s="34" t="n">
        <v>-0.0605569162459155</v>
      </c>
      <c r="R255" s="31" t="n">
        <v>1200</v>
      </c>
      <c r="S255" s="31" t="n">
        <v>200</v>
      </c>
      <c r="T255" s="31" t="inlineStr">
        <is>
          <t>C</t>
        </is>
      </c>
      <c r="U255" s="31" t="inlineStr">
        <is>
          <t>Arterial</t>
        </is>
      </c>
      <c r="V255" s="31" t="inlineStr">
        <is>
          <t>NEW DEVELOPMENT RESULT</t>
        </is>
      </c>
      <c r="W255" s="31" t="n">
        <v>0.0013490949234901</v>
      </c>
    </row>
    <row r="256" ht="24" customHeight="1">
      <c r="A256" s="31" t="inlineStr">
        <is>
          <t>D014__TECO10__8103</t>
        </is>
      </c>
      <c r="B256" s="31" t="inlineStr">
        <is>
          <t>D014</t>
        </is>
      </c>
      <c r="C256" s="31" t="inlineStr">
        <is>
          <t>TECO10</t>
        </is>
      </c>
      <c r="D256" s="31" t="n">
        <v>8103</v>
      </c>
      <c r="E256" s="31" t="n">
        <v>597</v>
      </c>
      <c r="F256" s="33" t="n">
        <v>368.9028475711893</v>
      </c>
      <c r="G256" s="33" t="n">
        <v>978.1328825260056</v>
      </c>
      <c r="H256" s="33" t="n">
        <v>3361.732512562814</v>
      </c>
      <c r="I256" s="33" t="n">
        <v>688.1999999999999</v>
      </c>
      <c r="J256" s="33" t="n">
        <v>0.4304857621440536</v>
      </c>
      <c r="K256" s="33" t="n">
        <v>250.5012531328321</v>
      </c>
      <c r="L256" s="33" t="n">
        <v>616.9850515043596</v>
      </c>
      <c r="M256" s="33" t="n">
        <v>830122.3664182648</v>
      </c>
      <c r="N256" s="33" t="n">
        <v>107120</v>
      </c>
      <c r="O256" s="34" t="n">
        <v>0.280022136137244</v>
      </c>
      <c r="P256" s="34" t="n">
        <v>0.1551766135680135</v>
      </c>
      <c r="Q256" s="34" t="n">
        <v>-0.0662673756061186</v>
      </c>
      <c r="R256" s="31" t="n">
        <v>1200</v>
      </c>
      <c r="S256" s="31" t="n">
        <v>200</v>
      </c>
      <c r="T256" s="31" t="inlineStr">
        <is>
          <t>C</t>
        </is>
      </c>
      <c r="U256" s="31" t="inlineStr">
        <is>
          <t>Arterial</t>
        </is>
      </c>
      <c r="V256" s="31" t="inlineStr">
        <is>
          <t>NEW DEVELOPMENT RESULT</t>
        </is>
      </c>
      <c r="W256" s="31" t="n">
        <v>0.0013582454066324</v>
      </c>
    </row>
    <row r="257" ht="24" customHeight="1">
      <c r="A257" s="31" t="inlineStr">
        <is>
          <t>D014__TECO15__8101</t>
        </is>
      </c>
      <c r="B257" s="31" t="inlineStr">
        <is>
          <t>D014</t>
        </is>
      </c>
      <c r="C257" s="31" t="inlineStr">
        <is>
          <t>TECO15</t>
        </is>
      </c>
      <c r="D257" s="31" t="n">
        <v>8101</v>
      </c>
      <c r="E257" s="31" t="n">
        <v>611</v>
      </c>
      <c r="F257" s="33" t="n">
        <v>382.5417348608838</v>
      </c>
      <c r="G257" s="33" t="n">
        <v>1033.022057551002</v>
      </c>
      <c r="H257" s="33" t="n">
        <v>3411.76170212766</v>
      </c>
      <c r="I257" s="33" t="n">
        <v>650.5</v>
      </c>
      <c r="J257" s="33" t="n">
        <v>0.3322422258592471</v>
      </c>
      <c r="K257" s="33" t="n">
        <v>265.9179894179894</v>
      </c>
      <c r="L257" s="33" t="n">
        <v>659.6964015620472</v>
      </c>
      <c r="M257" s="33" t="n">
        <v>880541.7169541162</v>
      </c>
      <c r="N257" s="33" t="n">
        <v>125465</v>
      </c>
      <c r="O257" s="34" t="n">
        <v>0.3166251148143288</v>
      </c>
      <c r="P257" s="34" t="n">
        <v>0.1677492575329593</v>
      </c>
      <c r="Q257" s="34" t="n">
        <v>-0.0618919057621293</v>
      </c>
      <c r="R257" s="31" t="n">
        <v>1200</v>
      </c>
      <c r="S257" s="31" t="n">
        <v>200</v>
      </c>
      <c r="T257" s="31" t="inlineStr">
        <is>
          <t>C</t>
        </is>
      </c>
      <c r="U257" s="31" t="inlineStr">
        <is>
          <t>Arterial</t>
        </is>
      </c>
      <c r="V257" s="31" t="inlineStr">
        <is>
          <t>NEW DEVELOPMENT RESULT</t>
        </is>
      </c>
      <c r="W257" s="31" t="n">
        <v>0.001262267877815</v>
      </c>
    </row>
    <row r="258" ht="24" customHeight="1">
      <c r="A258" s="31" t="inlineStr">
        <is>
          <t>D014__TECO15__8102</t>
        </is>
      </c>
      <c r="B258" s="31" t="inlineStr">
        <is>
          <t>D014</t>
        </is>
      </c>
      <c r="C258" s="31" t="inlineStr">
        <is>
          <t>TECO15</t>
        </is>
      </c>
      <c r="D258" s="31" t="n">
        <v>8102</v>
      </c>
      <c r="E258" s="31" t="n">
        <v>654</v>
      </c>
      <c r="F258" s="33" t="n">
        <v>395.0963302752294</v>
      </c>
      <c r="G258" s="33" t="n">
        <v>1067.876302187944</v>
      </c>
      <c r="H258" s="33" t="n">
        <v>3355.462033639144</v>
      </c>
      <c r="I258" s="33" t="n">
        <v>834.7</v>
      </c>
      <c r="J258" s="33" t="n">
        <v>0.6146788990825688</v>
      </c>
      <c r="K258" s="33" t="n">
        <v>271.6459948320414</v>
      </c>
      <c r="L258" s="33" t="n">
        <v>676.0161340608418</v>
      </c>
      <c r="M258" s="33" t="n">
        <v>960009.3455124612</v>
      </c>
      <c r="N258" s="33" t="n">
        <v>135113</v>
      </c>
      <c r="O258" s="34" t="n">
        <v>0.2325522482583913</v>
      </c>
      <c r="P258" s="34" t="n">
        <v>0.2002693938879035</v>
      </c>
      <c r="Q258" s="34" t="n">
        <v>-0.0940095015362262</v>
      </c>
      <c r="R258" s="31" t="n">
        <v>1200</v>
      </c>
      <c r="S258" s="31" t="n">
        <v>200</v>
      </c>
      <c r="T258" s="31" t="inlineStr">
        <is>
          <t>C</t>
        </is>
      </c>
      <c r="U258" s="31" t="inlineStr">
        <is>
          <t>Arterial</t>
        </is>
      </c>
      <c r="V258" s="31" t="inlineStr">
        <is>
          <t>NEW DEVELOPMENT RESULT</t>
        </is>
      </c>
      <c r="W258" s="31" t="n">
        <v>0.0012539457810225</v>
      </c>
    </row>
    <row r="259" ht="24" customHeight="1">
      <c r="A259" s="31" t="inlineStr">
        <is>
          <t>D014__TECO15__8103</t>
        </is>
      </c>
      <c r="B259" s="31" t="inlineStr">
        <is>
          <t>D014</t>
        </is>
      </c>
      <c r="C259" s="31" t="inlineStr">
        <is>
          <t>TECO15</t>
        </is>
      </c>
      <c r="D259" s="31" t="n">
        <v>8103</v>
      </c>
      <c r="E259" s="31" t="n">
        <v>597</v>
      </c>
      <c r="F259" s="33" t="n">
        <v>392.7370184254606</v>
      </c>
      <c r="G259" s="33" t="n">
        <v>1054.660558246428</v>
      </c>
      <c r="H259" s="33" t="n">
        <v>3375.63512562814</v>
      </c>
      <c r="I259" s="33" t="n">
        <v>770.1999999999999</v>
      </c>
      <c r="J259" s="33" t="n">
        <v>0.4304857621440536</v>
      </c>
      <c r="K259" s="33" t="n">
        <v>301.641604010025</v>
      </c>
      <c r="L259" s="33" t="n">
        <v>757.9944532281327</v>
      </c>
      <c r="M259" s="33" t="n">
        <v>932072.1401111424</v>
      </c>
      <c r="N259" s="33" t="n">
        <v>138751</v>
      </c>
      <c r="O259" s="34" t="n">
        <v>0.2575013638843426</v>
      </c>
      <c r="P259" s="34" t="n">
        <v>0.1863142029213519</v>
      </c>
      <c r="Q259" s="34" t="n">
        <v>-0.1079674617728589</v>
      </c>
      <c r="R259" s="31" t="n">
        <v>1200</v>
      </c>
      <c r="S259" s="31" t="n">
        <v>200</v>
      </c>
      <c r="T259" s="31" t="inlineStr">
        <is>
          <t>C</t>
        </is>
      </c>
      <c r="U259" s="31" t="inlineStr">
        <is>
          <t>Arterial</t>
        </is>
      </c>
      <c r="V259" s="31" t="inlineStr">
        <is>
          <t>NEW DEVELOPMENT RESULT</t>
        </is>
      </c>
      <c r="W259" s="31" t="n">
        <v>0.0012527976936874</v>
      </c>
    </row>
    <row r="260" ht="24" customHeight="1">
      <c r="A260" s="31" t="inlineStr">
        <is>
          <t>D015__SP__8101</t>
        </is>
      </c>
      <c r="B260" s="31" t="inlineStr">
        <is>
          <t>D015</t>
        </is>
      </c>
      <c r="C260" s="31" t="inlineStr">
        <is>
          <t>SP</t>
        </is>
      </c>
      <c r="D260" s="31" t="n">
        <v>8101</v>
      </c>
      <c r="E260" s="31" t="n">
        <v>611</v>
      </c>
      <c r="F260" s="33" t="n">
        <v>693.9803600654665</v>
      </c>
      <c r="G260" s="33" t="n">
        <v>1956.011235073604</v>
      </c>
      <c r="H260" s="33" t="n">
        <v>3203.72</v>
      </c>
      <c r="I260" s="33" t="n">
        <v>847</v>
      </c>
      <c r="J260" s="33" t="n">
        <v>32.88216039279869</v>
      </c>
      <c r="K260" s="33" t="n">
        <v>236.9867724867725</v>
      </c>
      <c r="L260" s="33" t="n">
        <v>578.6863631529501</v>
      </c>
      <c r="M260" s="33" t="n">
        <v>1413866.309901787</v>
      </c>
      <c r="N260" s="33" t="n">
        <v>295444</v>
      </c>
      <c r="O260" s="34" t="n">
        <v>0</v>
      </c>
      <c r="P260" s="34" t="n">
        <v>0.0405537368019663</v>
      </c>
      <c r="Q260" s="34" t="n">
        <v>-0.0309304795097078</v>
      </c>
      <c r="R260" s="31" t="n">
        <v>1200</v>
      </c>
      <c r="S260" s="31" t="n">
        <v>200</v>
      </c>
      <c r="T260" s="31" t="inlineStr">
        <is>
          <t>L</t>
        </is>
      </c>
      <c r="U260" s="31" t="inlineStr">
        <is>
          <t>Balanced</t>
        </is>
      </c>
      <c r="V260" s="31" t="inlineStr">
        <is>
          <t>NEW DEVELOPMENT RESULT</t>
        </is>
      </c>
      <c r="W260" s="31" t="n">
        <v>0.0008347135490192</v>
      </c>
    </row>
    <row r="261" ht="24" customHeight="1">
      <c r="A261" s="31" t="inlineStr">
        <is>
          <t>D015__SP__8102</t>
        </is>
      </c>
      <c r="B261" s="31" t="inlineStr">
        <is>
          <t>D015</t>
        </is>
      </c>
      <c r="C261" s="31" t="inlineStr">
        <is>
          <t>SP</t>
        </is>
      </c>
      <c r="D261" s="31" t="n">
        <v>8102</v>
      </c>
      <c r="E261" s="31" t="n">
        <v>654</v>
      </c>
      <c r="F261" s="33" t="n">
        <v>648.5045871559633</v>
      </c>
      <c r="G261" s="33" t="n">
        <v>1832.72074825944</v>
      </c>
      <c r="H261" s="33" t="n">
        <v>3203.72</v>
      </c>
      <c r="I261" s="33" t="n">
        <v>886.0500000000001</v>
      </c>
      <c r="J261" s="33" t="n">
        <v>26.92201834862385</v>
      </c>
      <c r="K261" s="33" t="n">
        <v>238.7777777777778</v>
      </c>
      <c r="L261" s="33" t="n">
        <v>583.9838383188488</v>
      </c>
      <c r="M261" s="33" t="n">
        <v>1424601.114791068</v>
      </c>
      <c r="N261" s="33" t="n">
        <v>274268</v>
      </c>
      <c r="O261" s="34" t="n">
        <v>0</v>
      </c>
      <c r="P261" s="34" t="n">
        <v>0.065358043871369</v>
      </c>
      <c r="Q261" s="34" t="n">
        <v>-0.0581286491197569</v>
      </c>
      <c r="R261" s="31" t="n">
        <v>1200</v>
      </c>
      <c r="S261" s="31" t="n">
        <v>200</v>
      </c>
      <c r="T261" s="31" t="inlineStr">
        <is>
          <t>L</t>
        </is>
      </c>
      <c r="U261" s="31" t="inlineStr">
        <is>
          <t>Balanced</t>
        </is>
      </c>
      <c r="V261" s="31" t="inlineStr">
        <is>
          <t>NEW DEVELOPMENT RESULT</t>
        </is>
      </c>
      <c r="W261" s="31" t="n">
        <v>0.0008827030012748</v>
      </c>
    </row>
    <row r="262" ht="24" customHeight="1">
      <c r="A262" s="31" t="inlineStr">
        <is>
          <t>D015__SP__8103</t>
        </is>
      </c>
      <c r="B262" s="31" t="inlineStr">
        <is>
          <t>D015</t>
        </is>
      </c>
      <c r="C262" s="31" t="inlineStr">
        <is>
          <t>SP</t>
        </is>
      </c>
      <c r="D262" s="31" t="n">
        <v>8103</v>
      </c>
      <c r="E262" s="31" t="n">
        <v>597</v>
      </c>
      <c r="F262" s="33" t="n">
        <v>581.8140703517588</v>
      </c>
      <c r="G262" s="33" t="n">
        <v>1703.12466557422</v>
      </c>
      <c r="H262" s="33" t="n">
        <v>3203.72</v>
      </c>
      <c r="I262" s="33" t="n">
        <v>706.1999999999999</v>
      </c>
      <c r="J262" s="33" t="n">
        <v>0.52428810720268</v>
      </c>
      <c r="K262" s="33" t="n">
        <v>237.0275689223058</v>
      </c>
      <c r="L262" s="33" t="n">
        <v>579.2319598187086</v>
      </c>
      <c r="M262" s="33" t="n">
        <v>1247878.977315474</v>
      </c>
      <c r="N262" s="33" t="n">
        <v>238130</v>
      </c>
      <c r="O262" s="34" t="n">
        <v>0</v>
      </c>
      <c r="P262" s="34" t="n">
        <v>0.06535749501550819</v>
      </c>
      <c r="Q262" s="34" t="n">
        <v>-0.0566849351687957</v>
      </c>
      <c r="R262" s="31" t="n">
        <v>1200</v>
      </c>
      <c r="S262" s="31" t="n">
        <v>200</v>
      </c>
      <c r="T262" s="31" t="inlineStr">
        <is>
          <t>L</t>
        </is>
      </c>
      <c r="U262" s="31" t="inlineStr">
        <is>
          <t>Balanced</t>
        </is>
      </c>
      <c r="V262" s="31" t="inlineStr">
        <is>
          <t>NEW DEVELOPMENT RESULT</t>
        </is>
      </c>
      <c r="W262" s="31" t="n">
        <v>0.0009452630134992</v>
      </c>
    </row>
    <row r="263" ht="24" customHeight="1">
      <c r="A263" s="31" t="inlineStr">
        <is>
          <t>D015__DTT__8101</t>
        </is>
      </c>
      <c r="B263" s="31" t="inlineStr">
        <is>
          <t>D015</t>
        </is>
      </c>
      <c r="C263" s="31" t="inlineStr">
        <is>
          <t>DTT</t>
        </is>
      </c>
      <c r="D263" s="31" t="n">
        <v>8101</v>
      </c>
      <c r="E263" s="31" t="n">
        <v>611</v>
      </c>
      <c r="F263" s="33" t="n">
        <v>473.834697217676</v>
      </c>
      <c r="G263" s="33" t="n">
        <v>1267.150892633665</v>
      </c>
      <c r="H263" s="33" t="n">
        <v>3631.155810147297</v>
      </c>
      <c r="I263" s="33" t="n">
        <v>673</v>
      </c>
      <c r="J263" s="33" t="n">
        <v>0.3306055646481178</v>
      </c>
      <c r="K263" s="33" t="n">
        <v>238.3439153439153</v>
      </c>
      <c r="L263" s="33" t="n">
        <v>582.3611470629736</v>
      </c>
      <c r="M263" s="33" t="n">
        <v>994361.7089889732</v>
      </c>
      <c r="N263" s="33" t="n">
        <v>162899</v>
      </c>
      <c r="O263" s="34" t="n">
        <v>0.6783111625216889</v>
      </c>
      <c r="P263" s="34" t="n">
        <v>0.2543750756706211</v>
      </c>
      <c r="Q263" s="34" t="n">
        <v>0.0572635084110937</v>
      </c>
      <c r="R263" s="31" t="n">
        <v>1200</v>
      </c>
      <c r="S263" s="31" t="n">
        <v>200</v>
      </c>
      <c r="T263" s="31" t="inlineStr">
        <is>
          <t>L</t>
        </is>
      </c>
      <c r="U263" s="31" t="inlineStr">
        <is>
          <t>Balanced</t>
        </is>
      </c>
      <c r="V263" s="31" t="inlineStr">
        <is>
          <t>NEW DEVELOPMENT RESULT</t>
        </is>
      </c>
      <c r="W263" s="31" t="n">
        <v>0.0010878331047089</v>
      </c>
    </row>
    <row r="264" ht="24" customHeight="1">
      <c r="A264" s="31" t="inlineStr">
        <is>
          <t>D015__DTT__8102</t>
        </is>
      </c>
      <c r="B264" s="31" t="inlineStr">
        <is>
          <t>D015</t>
        </is>
      </c>
      <c r="C264" s="31" t="inlineStr">
        <is>
          <t>DTT</t>
        </is>
      </c>
      <c r="D264" s="31" t="n">
        <v>8102</v>
      </c>
      <c r="E264" s="31" t="n">
        <v>654</v>
      </c>
      <c r="F264" s="33" t="n">
        <v>448.65749235474</v>
      </c>
      <c r="G264" s="33" t="n">
        <v>1227.777658228512</v>
      </c>
      <c r="H264" s="33" t="n">
        <v>3505.859571865444</v>
      </c>
      <c r="I264" s="33" t="n">
        <v>585.1500000000002</v>
      </c>
      <c r="J264" s="33" t="n">
        <v>0.6100917431192661</v>
      </c>
      <c r="K264" s="33" t="n">
        <v>238.7777777777778</v>
      </c>
      <c r="L264" s="33" t="n">
        <v>583.9838383188488</v>
      </c>
      <c r="M264" s="33" t="n">
        <v>1028968.333910841</v>
      </c>
      <c r="N264" s="33" t="n">
        <v>151258</v>
      </c>
      <c r="O264" s="34" t="n">
        <v>0.6156438865643886</v>
      </c>
      <c r="P264" s="34" t="n">
        <v>0.2079170333140641</v>
      </c>
      <c r="Q264" s="34" t="n">
        <v>0.0281573911593906</v>
      </c>
      <c r="R264" s="31" t="n">
        <v>1200</v>
      </c>
      <c r="S264" s="31" t="n">
        <v>200</v>
      </c>
      <c r="T264" s="31" t="inlineStr">
        <is>
          <t>L</t>
        </is>
      </c>
      <c r="U264" s="31" t="inlineStr">
        <is>
          <t>Balanced</t>
        </is>
      </c>
      <c r="V264" s="31" t="inlineStr">
        <is>
          <t>NEW DEVELOPMENT RESULT</t>
        </is>
      </c>
      <c r="W264" s="31" t="n">
        <v>0.0011404660152972</v>
      </c>
    </row>
    <row r="265" ht="24" customHeight="1">
      <c r="A265" s="31" t="inlineStr">
        <is>
          <t>D015__DTT__8103</t>
        </is>
      </c>
      <c r="B265" s="31" t="inlineStr">
        <is>
          <t>D015</t>
        </is>
      </c>
      <c r="C265" s="31" t="inlineStr">
        <is>
          <t>DTT</t>
        </is>
      </c>
      <c r="D265" s="31" t="n">
        <v>8103</v>
      </c>
      <c r="E265" s="31" t="n">
        <v>597</v>
      </c>
      <c r="F265" s="33" t="n">
        <v>428.0569514237856</v>
      </c>
      <c r="G265" s="33" t="n">
        <v>1151.581775278686</v>
      </c>
      <c r="H265" s="33" t="n">
        <v>3562.863685092127</v>
      </c>
      <c r="I265" s="33" t="n">
        <v>600</v>
      </c>
      <c r="J265" s="33" t="n">
        <v>0.4304857621440536</v>
      </c>
      <c r="K265" s="33" t="n">
        <v>237.0275689223058</v>
      </c>
      <c r="L265" s="33" t="n">
        <v>579.2319598187086</v>
      </c>
      <c r="M265" s="33" t="n">
        <v>918607.8718090402</v>
      </c>
      <c r="N265" s="33" t="n">
        <v>131490</v>
      </c>
      <c r="O265" s="34" t="n">
        <v>0.6203161956927673</v>
      </c>
      <c r="P265" s="34" t="n">
        <v>0.2400424353740997</v>
      </c>
      <c r="Q265" s="34" t="n">
        <v>0.1064083697961201</v>
      </c>
      <c r="R265" s="31" t="n">
        <v>1200</v>
      </c>
      <c r="S265" s="31" t="n">
        <v>200</v>
      </c>
      <c r="T265" s="31" t="inlineStr">
        <is>
          <t>L</t>
        </is>
      </c>
      <c r="U265" s="31" t="inlineStr">
        <is>
          <t>Balanced</t>
        </is>
      </c>
      <c r="V265" s="31" t="inlineStr">
        <is>
          <t>NEW DEVELOPMENT RESULT</t>
        </is>
      </c>
      <c r="W265" s="31" t="n">
        <v>0.0011756950633222</v>
      </c>
    </row>
    <row r="266" ht="24" customHeight="1">
      <c r="A266" s="31" t="inlineStr">
        <is>
          <t>D015__ECO__8101</t>
        </is>
      </c>
      <c r="B266" s="31" t="inlineStr">
        <is>
          <t>D015</t>
        </is>
      </c>
      <c r="C266" s="31" t="inlineStr">
        <is>
          <t>ECO</t>
        </is>
      </c>
      <c r="D266" s="31" t="n">
        <v>8101</v>
      </c>
      <c r="E266" s="31" t="n">
        <v>611</v>
      </c>
      <c r="F266" s="33" t="n">
        <v>693.9803600654665</v>
      </c>
      <c r="G266" s="33" t="n">
        <v>1956.011235073604</v>
      </c>
      <c r="H266" s="33" t="n">
        <v>3203.72</v>
      </c>
      <c r="I266" s="33" t="n">
        <v>847</v>
      </c>
      <c r="J266" s="33" t="n">
        <v>32.88216039279869</v>
      </c>
      <c r="K266" s="33" t="n">
        <v>236.9867724867725</v>
      </c>
      <c r="L266" s="33" t="n">
        <v>578.6863631529501</v>
      </c>
      <c r="M266" s="33" t="n">
        <v>1413866.309901787</v>
      </c>
      <c r="N266" s="33" t="n">
        <v>295444</v>
      </c>
      <c r="O266" s="34" t="n">
        <v>0</v>
      </c>
      <c r="P266" s="34" t="n">
        <v>0.0405537368019663</v>
      </c>
      <c r="Q266" s="34" t="n">
        <v>-0.0309304795097078</v>
      </c>
      <c r="R266" s="31" t="n">
        <v>1200</v>
      </c>
      <c r="S266" s="31" t="n">
        <v>200</v>
      </c>
      <c r="T266" s="31" t="inlineStr">
        <is>
          <t>L</t>
        </is>
      </c>
      <c r="U266" s="31" t="inlineStr">
        <is>
          <t>Balanced</t>
        </is>
      </c>
      <c r="V266" s="31" t="inlineStr">
        <is>
          <t>NEW DEVELOPMENT RESULT</t>
        </is>
      </c>
      <c r="W266" s="31" t="n">
        <v>0.0008347135490192</v>
      </c>
    </row>
    <row r="267" ht="24" customHeight="1">
      <c r="A267" s="31" t="inlineStr">
        <is>
          <t>D015__ECO__8102</t>
        </is>
      </c>
      <c r="B267" s="31" t="inlineStr">
        <is>
          <t>D015</t>
        </is>
      </c>
      <c r="C267" s="31" t="inlineStr">
        <is>
          <t>ECO</t>
        </is>
      </c>
      <c r="D267" s="31" t="n">
        <v>8102</v>
      </c>
      <c r="E267" s="31" t="n">
        <v>654</v>
      </c>
      <c r="F267" s="33" t="n">
        <v>648.5045871559633</v>
      </c>
      <c r="G267" s="33" t="n">
        <v>1832.72074825944</v>
      </c>
      <c r="H267" s="33" t="n">
        <v>3203.72</v>
      </c>
      <c r="I267" s="33" t="n">
        <v>886.0500000000001</v>
      </c>
      <c r="J267" s="33" t="n">
        <v>26.92201834862385</v>
      </c>
      <c r="K267" s="33" t="n">
        <v>238.7777777777778</v>
      </c>
      <c r="L267" s="33" t="n">
        <v>583.9838383188488</v>
      </c>
      <c r="M267" s="33" t="n">
        <v>1424601.114791068</v>
      </c>
      <c r="N267" s="33" t="n">
        <v>274268</v>
      </c>
      <c r="O267" s="34" t="n">
        <v>0</v>
      </c>
      <c r="P267" s="34" t="n">
        <v>0.065358043871369</v>
      </c>
      <c r="Q267" s="34" t="n">
        <v>-0.0581286491197569</v>
      </c>
      <c r="R267" s="31" t="n">
        <v>1200</v>
      </c>
      <c r="S267" s="31" t="n">
        <v>200</v>
      </c>
      <c r="T267" s="31" t="inlineStr">
        <is>
          <t>L</t>
        </is>
      </c>
      <c r="U267" s="31" t="inlineStr">
        <is>
          <t>Balanced</t>
        </is>
      </c>
      <c r="V267" s="31" t="inlineStr">
        <is>
          <t>NEW DEVELOPMENT RESULT</t>
        </is>
      </c>
      <c r="W267" s="31" t="n">
        <v>0.0008827030012748</v>
      </c>
    </row>
    <row r="268" ht="24" customHeight="1">
      <c r="A268" s="31" t="inlineStr">
        <is>
          <t>D015__ECO__8103</t>
        </is>
      </c>
      <c r="B268" s="31" t="inlineStr">
        <is>
          <t>D015</t>
        </is>
      </c>
      <c r="C268" s="31" t="inlineStr">
        <is>
          <t>ECO</t>
        </is>
      </c>
      <c r="D268" s="31" t="n">
        <v>8103</v>
      </c>
      <c r="E268" s="31" t="n">
        <v>597</v>
      </c>
      <c r="F268" s="33" t="n">
        <v>581.8140703517588</v>
      </c>
      <c r="G268" s="33" t="n">
        <v>1703.12466557422</v>
      </c>
      <c r="H268" s="33" t="n">
        <v>3203.72</v>
      </c>
      <c r="I268" s="33" t="n">
        <v>706.1999999999999</v>
      </c>
      <c r="J268" s="33" t="n">
        <v>0.52428810720268</v>
      </c>
      <c r="K268" s="33" t="n">
        <v>237.0275689223058</v>
      </c>
      <c r="L268" s="33" t="n">
        <v>579.2319598187086</v>
      </c>
      <c r="M268" s="33" t="n">
        <v>1247878.977315474</v>
      </c>
      <c r="N268" s="33" t="n">
        <v>238130</v>
      </c>
      <c r="O268" s="34" t="n">
        <v>0</v>
      </c>
      <c r="P268" s="34" t="n">
        <v>0.06535749501550819</v>
      </c>
      <c r="Q268" s="34" t="n">
        <v>-0.0566849351687957</v>
      </c>
      <c r="R268" s="31" t="n">
        <v>1200</v>
      </c>
      <c r="S268" s="31" t="n">
        <v>200</v>
      </c>
      <c r="T268" s="31" t="inlineStr">
        <is>
          <t>L</t>
        </is>
      </c>
      <c r="U268" s="31" t="inlineStr">
        <is>
          <t>Balanced</t>
        </is>
      </c>
      <c r="V268" s="31" t="inlineStr">
        <is>
          <t>NEW DEVELOPMENT RESULT</t>
        </is>
      </c>
      <c r="W268" s="31" t="n">
        <v>0.0009452630134992</v>
      </c>
    </row>
    <row r="269" ht="24" customHeight="1">
      <c r="A269" s="31" t="inlineStr">
        <is>
          <t>D015__TECO05__8101</t>
        </is>
      </c>
      <c r="B269" s="31" t="inlineStr">
        <is>
          <t>D015</t>
        </is>
      </c>
      <c r="C269" s="31" t="inlineStr">
        <is>
          <t>TECO05</t>
        </is>
      </c>
      <c r="D269" s="31" t="n">
        <v>8101</v>
      </c>
      <c r="E269" s="31" t="n">
        <v>611</v>
      </c>
      <c r="F269" s="33" t="n">
        <v>408.7643207855974</v>
      </c>
      <c r="G269" s="33" t="n">
        <v>1105.151219083302</v>
      </c>
      <c r="H269" s="33" t="n">
        <v>3524.338036006546</v>
      </c>
      <c r="I269" s="33" t="n">
        <v>574.5</v>
      </c>
      <c r="J269" s="33" t="n">
        <v>0.3289689034369885</v>
      </c>
      <c r="K269" s="33" t="n">
        <v>236.9867724867725</v>
      </c>
      <c r="L269" s="33" t="n">
        <v>578.6254210148132</v>
      </c>
      <c r="M269" s="33" t="n">
        <v>893967.8040034971</v>
      </c>
      <c r="N269" s="33" t="n">
        <v>138810</v>
      </c>
      <c r="O269" s="34" t="n">
        <v>0.5278495020287717</v>
      </c>
      <c r="P269" s="34" t="n">
        <v>0.2336737804266906</v>
      </c>
      <c r="Q269" s="34" t="n">
        <v>0.1178666386272729</v>
      </c>
      <c r="R269" s="31" t="n">
        <v>1200</v>
      </c>
      <c r="S269" s="31" t="n">
        <v>200</v>
      </c>
      <c r="T269" s="31" t="inlineStr">
        <is>
          <t>L</t>
        </is>
      </c>
      <c r="U269" s="31" t="inlineStr">
        <is>
          <t>Balanced</t>
        </is>
      </c>
      <c r="V269" s="31" t="inlineStr">
        <is>
          <t>NEW DEVELOPMENT RESULT</t>
        </is>
      </c>
      <c r="W269" s="31" t="n">
        <v>0.0011775099936274</v>
      </c>
    </row>
    <row r="270" ht="24" customHeight="1">
      <c r="A270" s="31" t="inlineStr">
        <is>
          <t>D015__TECO05__8102</t>
        </is>
      </c>
      <c r="B270" s="31" t="inlineStr">
        <is>
          <t>D015</t>
        </is>
      </c>
      <c r="C270" s="31" t="inlineStr">
        <is>
          <t>TECO05</t>
        </is>
      </c>
      <c r="D270" s="31" t="n">
        <v>8102</v>
      </c>
      <c r="E270" s="31" t="n">
        <v>654</v>
      </c>
      <c r="F270" s="33" t="n">
        <v>448.65749235474</v>
      </c>
      <c r="G270" s="33" t="n">
        <v>1227.777658228512</v>
      </c>
      <c r="H270" s="33" t="n">
        <v>3505.859571865444</v>
      </c>
      <c r="I270" s="33" t="n">
        <v>585.1500000000002</v>
      </c>
      <c r="J270" s="33" t="n">
        <v>0.6100917431192661</v>
      </c>
      <c r="K270" s="33" t="n">
        <v>238.7777777777778</v>
      </c>
      <c r="L270" s="33" t="n">
        <v>583.9838383188488</v>
      </c>
      <c r="M270" s="33" t="n">
        <v>1028968.333910841</v>
      </c>
      <c r="N270" s="33" t="n">
        <v>151258</v>
      </c>
      <c r="O270" s="34" t="n">
        <v>0.6156438865643886</v>
      </c>
      <c r="P270" s="34" t="n">
        <v>0.2079170333140641</v>
      </c>
      <c r="Q270" s="34" t="n">
        <v>0.0281573911593906</v>
      </c>
      <c r="R270" s="31" t="n">
        <v>1200</v>
      </c>
      <c r="S270" s="31" t="n">
        <v>200</v>
      </c>
      <c r="T270" s="31" t="inlineStr">
        <is>
          <t>L</t>
        </is>
      </c>
      <c r="U270" s="31" t="inlineStr">
        <is>
          <t>Balanced</t>
        </is>
      </c>
      <c r="V270" s="31" t="inlineStr">
        <is>
          <t>NEW DEVELOPMENT RESULT</t>
        </is>
      </c>
      <c r="W270" s="31" t="n">
        <v>0.0011404660152972</v>
      </c>
    </row>
    <row r="271" ht="24" customHeight="1">
      <c r="A271" s="31" t="inlineStr">
        <is>
          <t>D015__TECO05__8103</t>
        </is>
      </c>
      <c r="B271" s="31" t="inlineStr">
        <is>
          <t>D015</t>
        </is>
      </c>
      <c r="C271" s="31" t="inlineStr">
        <is>
          <t>TECO05</t>
        </is>
      </c>
      <c r="D271" s="31" t="n">
        <v>8103</v>
      </c>
      <c r="E271" s="31" t="n">
        <v>597</v>
      </c>
      <c r="F271" s="33" t="n">
        <v>407.2412060301508</v>
      </c>
      <c r="G271" s="33" t="n">
        <v>1105.775340389627</v>
      </c>
      <c r="H271" s="33" t="n">
        <v>3478.907571189279</v>
      </c>
      <c r="I271" s="33" t="n">
        <v>543</v>
      </c>
      <c r="J271" s="33" t="n">
        <v>0.4137353433835846</v>
      </c>
      <c r="K271" s="33" t="n">
        <v>237.0451127819549</v>
      </c>
      <c r="L271" s="33" t="n">
        <v>579.2541973467743</v>
      </c>
      <c r="M271" s="33" t="n">
        <v>891270.3029539704</v>
      </c>
      <c r="N271" s="33" t="n">
        <v>127012</v>
      </c>
      <c r="O271" s="34" t="n">
        <v>0.521756072217171</v>
      </c>
      <c r="P271" s="34" t="n">
        <v>0.2062827687484597</v>
      </c>
      <c r="Q271" s="34" t="n">
        <v>0.0692748297024738</v>
      </c>
      <c r="R271" s="31" t="n">
        <v>1200</v>
      </c>
      <c r="S271" s="31" t="n">
        <v>200</v>
      </c>
      <c r="T271" s="31" t="inlineStr">
        <is>
          <t>L</t>
        </is>
      </c>
      <c r="U271" s="31" t="inlineStr">
        <is>
          <t>Balanced</t>
        </is>
      </c>
      <c r="V271" s="31" t="inlineStr">
        <is>
          <t>NEW DEVELOPMENT RESULT</t>
        </is>
      </c>
      <c r="W271" s="31" t="n">
        <v>0.0012056360591213</v>
      </c>
    </row>
    <row r="272" ht="24" customHeight="1">
      <c r="A272" s="31" t="inlineStr">
        <is>
          <t>D015__TECO10__8101</t>
        </is>
      </c>
      <c r="B272" s="31" t="inlineStr">
        <is>
          <t>D015</t>
        </is>
      </c>
      <c r="C272" s="31" t="inlineStr">
        <is>
          <t>TECO10</t>
        </is>
      </c>
      <c r="D272" s="31" t="n">
        <v>8101</v>
      </c>
      <c r="E272" s="31" t="n">
        <v>611</v>
      </c>
      <c r="F272" s="33" t="n">
        <v>642.6513911620294</v>
      </c>
      <c r="G272" s="33" t="n">
        <v>1854.78937718525</v>
      </c>
      <c r="H272" s="33" t="n">
        <v>3218.095777414075</v>
      </c>
      <c r="I272" s="33" t="n">
        <v>797</v>
      </c>
      <c r="J272" s="33" t="n">
        <v>13.81178396072013</v>
      </c>
      <c r="K272" s="33" t="n">
        <v>236.9867724867725</v>
      </c>
      <c r="L272" s="33" t="n">
        <v>578.6863631529501</v>
      </c>
      <c r="M272" s="33" t="n">
        <v>1352019.754732003</v>
      </c>
      <c r="N272" s="33" t="n">
        <v>277666</v>
      </c>
      <c r="O272" s="34" t="n">
        <v>0.0268555407997639</v>
      </c>
      <c r="P272" s="34" t="n">
        <v>0.0620526198923239</v>
      </c>
      <c r="Q272" s="34" t="n">
        <v>-0.029724197871889</v>
      </c>
      <c r="R272" s="31" t="n">
        <v>1200</v>
      </c>
      <c r="S272" s="31" t="n">
        <v>200</v>
      </c>
      <c r="T272" s="31" t="inlineStr">
        <is>
          <t>L</t>
        </is>
      </c>
      <c r="U272" s="31" t="inlineStr">
        <is>
          <t>Balanced</t>
        </is>
      </c>
      <c r="V272" s="31" t="inlineStr">
        <is>
          <t>NEW DEVELOPMENT RESULT</t>
        </is>
      </c>
      <c r="W272" s="31" t="n">
        <v>0.0008633610872705</v>
      </c>
    </row>
    <row r="273" ht="24" customHeight="1">
      <c r="A273" s="31" t="inlineStr">
        <is>
          <t>D015__TECO10__8102</t>
        </is>
      </c>
      <c r="B273" s="31" t="inlineStr">
        <is>
          <t>D015</t>
        </is>
      </c>
      <c r="C273" s="31" t="inlineStr">
        <is>
          <t>TECO10</t>
        </is>
      </c>
      <c r="D273" s="31" t="n">
        <v>8102</v>
      </c>
      <c r="E273" s="31" t="n">
        <v>654</v>
      </c>
      <c r="F273" s="33" t="n">
        <v>415.6406727828746</v>
      </c>
      <c r="G273" s="33" t="n">
        <v>1145.279283931594</v>
      </c>
      <c r="H273" s="33" t="n">
        <v>3468.209021406728</v>
      </c>
      <c r="I273" s="33" t="n">
        <v>526.7</v>
      </c>
      <c r="J273" s="33" t="n">
        <v>0.6100917431192661</v>
      </c>
      <c r="K273" s="33" t="n">
        <v>238.7777777777778</v>
      </c>
      <c r="L273" s="33" t="n">
        <v>583.9838383188488</v>
      </c>
      <c r="M273" s="33" t="n">
        <v>975014.3971206566</v>
      </c>
      <c r="N273" s="33" t="n">
        <v>139456</v>
      </c>
      <c r="O273" s="34" t="n">
        <v>0.2369866284622731</v>
      </c>
      <c r="P273" s="34" t="n">
        <v>0.1625808736585026</v>
      </c>
      <c r="Q273" s="34" t="n">
        <v>0.0034450964534842</v>
      </c>
      <c r="R273" s="31" t="n">
        <v>1200</v>
      </c>
      <c r="S273" s="31" t="n">
        <v>200</v>
      </c>
      <c r="T273" s="31" t="inlineStr">
        <is>
          <t>L</t>
        </is>
      </c>
      <c r="U273" s="31" t="inlineStr">
        <is>
          <t>Balanced</t>
        </is>
      </c>
      <c r="V273" s="31" t="inlineStr">
        <is>
          <t>NEW DEVELOPMENT RESULT</t>
        </is>
      </c>
      <c r="W273" s="31" t="n">
        <v>0.0011680060951477</v>
      </c>
    </row>
    <row r="274" ht="24" customHeight="1">
      <c r="A274" s="31" t="inlineStr">
        <is>
          <t>D015__TECO10__8103</t>
        </is>
      </c>
      <c r="B274" s="31" t="inlineStr">
        <is>
          <t>D015</t>
        </is>
      </c>
      <c r="C274" s="31" t="inlineStr">
        <is>
          <t>TECO10</t>
        </is>
      </c>
      <c r="D274" s="31" t="n">
        <v>8103</v>
      </c>
      <c r="E274" s="31" t="n">
        <v>597</v>
      </c>
      <c r="F274" s="33" t="n">
        <v>403.0938023450586</v>
      </c>
      <c r="G274" s="33" t="n">
        <v>1112.238158035112</v>
      </c>
      <c r="H274" s="33" t="n">
        <v>3432.820837520938</v>
      </c>
      <c r="I274" s="33" t="n">
        <v>498.1999999999999</v>
      </c>
      <c r="J274" s="33" t="n">
        <v>0.4304857621440536</v>
      </c>
      <c r="K274" s="33" t="n">
        <v>237.0275689223058</v>
      </c>
      <c r="L274" s="33" t="n">
        <v>579.2319598187086</v>
      </c>
      <c r="M274" s="33" t="n">
        <v>895119.7323146263</v>
      </c>
      <c r="N274" s="33" t="n">
        <v>130413</v>
      </c>
      <c r="O274" s="34" t="n">
        <v>0.353273289420621</v>
      </c>
      <c r="P274" s="34" t="n">
        <v>0.1385394508528875</v>
      </c>
      <c r="Q274" s="34" t="n">
        <v>0.0644936288633173</v>
      </c>
      <c r="R274" s="31" t="n">
        <v>1200</v>
      </c>
      <c r="S274" s="31" t="n">
        <v>200</v>
      </c>
      <c r="T274" s="31" t="inlineStr">
        <is>
          <t>L</t>
        </is>
      </c>
      <c r="U274" s="31" t="inlineStr">
        <is>
          <t>Balanced</t>
        </is>
      </c>
      <c r="V274" s="31" t="inlineStr">
        <is>
          <t>NEW DEVELOPMENT RESULT</t>
        </is>
      </c>
      <c r="W274" s="31" t="n">
        <v>0.0011881886293181</v>
      </c>
    </row>
    <row r="275" ht="24" customHeight="1">
      <c r="A275" s="31" t="inlineStr">
        <is>
          <t>D015__TECO15__8101</t>
        </is>
      </c>
      <c r="B275" s="31" t="inlineStr">
        <is>
          <t>D015</t>
        </is>
      </c>
      <c r="C275" s="31" t="inlineStr">
        <is>
          <t>TECO15</t>
        </is>
      </c>
      <c r="D275" s="31" t="n">
        <v>8101</v>
      </c>
      <c r="E275" s="31" t="n">
        <v>611</v>
      </c>
      <c r="F275" s="33" t="n">
        <v>693.9803600654665</v>
      </c>
      <c r="G275" s="33" t="n">
        <v>1956.011235073604</v>
      </c>
      <c r="H275" s="33" t="n">
        <v>3203.72</v>
      </c>
      <c r="I275" s="33" t="n">
        <v>847</v>
      </c>
      <c r="J275" s="33" t="n">
        <v>32.88216039279869</v>
      </c>
      <c r="K275" s="33" t="n">
        <v>236.9867724867725</v>
      </c>
      <c r="L275" s="33" t="n">
        <v>578.6863631529501</v>
      </c>
      <c r="M275" s="33" t="n">
        <v>1413866.309901787</v>
      </c>
      <c r="N275" s="33" t="n">
        <v>295444</v>
      </c>
      <c r="O275" s="34" t="n">
        <v>0</v>
      </c>
      <c r="P275" s="34" t="n">
        <v>0.0405537368019663</v>
      </c>
      <c r="Q275" s="34" t="n">
        <v>-0.0309304795097078</v>
      </c>
      <c r="R275" s="31" t="n">
        <v>1200</v>
      </c>
      <c r="S275" s="31" t="n">
        <v>200</v>
      </c>
      <c r="T275" s="31" t="inlineStr">
        <is>
          <t>L</t>
        </is>
      </c>
      <c r="U275" s="31" t="inlineStr">
        <is>
          <t>Balanced</t>
        </is>
      </c>
      <c r="V275" s="31" t="inlineStr">
        <is>
          <t>NEW DEVELOPMENT RESULT</t>
        </is>
      </c>
      <c r="W275" s="31" t="n">
        <v>0.0008347135490192</v>
      </c>
    </row>
    <row r="276" ht="24" customHeight="1">
      <c r="A276" s="31" t="inlineStr">
        <is>
          <t>D015__TECO15__8102</t>
        </is>
      </c>
      <c r="B276" s="31" t="inlineStr">
        <is>
          <t>D015</t>
        </is>
      </c>
      <c r="C276" s="31" t="inlineStr">
        <is>
          <t>TECO15</t>
        </is>
      </c>
      <c r="D276" s="31" t="n">
        <v>8102</v>
      </c>
      <c r="E276" s="31" t="n">
        <v>654</v>
      </c>
      <c r="F276" s="33" t="n">
        <v>573.2752293577981</v>
      </c>
      <c r="G276" s="33" t="n">
        <v>1644.94017016461</v>
      </c>
      <c r="H276" s="33" t="n">
        <v>3225.784525993884</v>
      </c>
      <c r="I276" s="33" t="n">
        <v>805</v>
      </c>
      <c r="J276" s="33" t="n">
        <v>10.14067278287462</v>
      </c>
      <c r="K276" s="33" t="n">
        <v>238.7777777777778</v>
      </c>
      <c r="L276" s="33" t="n">
        <v>583.9838383188488</v>
      </c>
      <c r="M276" s="33" t="n">
        <v>1301792.616717049</v>
      </c>
      <c r="N276" s="33" t="n">
        <v>239485</v>
      </c>
      <c r="O276" s="34" t="n">
        <v>0.0410376063683777</v>
      </c>
      <c r="P276" s="34" t="n">
        <v>0.0791682984859424</v>
      </c>
      <c r="Q276" s="34" t="n">
        <v>-0.0610252143363943</v>
      </c>
      <c r="R276" s="31" t="n">
        <v>1200</v>
      </c>
      <c r="S276" s="31" t="n">
        <v>200</v>
      </c>
      <c r="T276" s="31" t="inlineStr">
        <is>
          <t>L</t>
        </is>
      </c>
      <c r="U276" s="31" t="inlineStr">
        <is>
          <t>Balanced</t>
        </is>
      </c>
      <c r="V276" s="31" t="inlineStr">
        <is>
          <t>NEW DEVELOPMENT RESULT</t>
        </is>
      </c>
      <c r="W276" s="31" t="n">
        <v>0.0009478625429774</v>
      </c>
    </row>
    <row r="277" ht="24" customHeight="1">
      <c r="A277" s="31" t="inlineStr">
        <is>
          <t>D015__TECO15__8103</t>
        </is>
      </c>
      <c r="B277" s="31" t="inlineStr">
        <is>
          <t>D015</t>
        </is>
      </c>
      <c r="C277" s="31" t="inlineStr">
        <is>
          <t>TECO15</t>
        </is>
      </c>
      <c r="D277" s="31" t="n">
        <v>8103</v>
      </c>
      <c r="E277" s="31" t="n">
        <v>597</v>
      </c>
      <c r="F277" s="33" t="n">
        <v>581.8140703517588</v>
      </c>
      <c r="G277" s="33" t="n">
        <v>1703.12466557422</v>
      </c>
      <c r="H277" s="33" t="n">
        <v>3203.72</v>
      </c>
      <c r="I277" s="33" t="n">
        <v>706.1999999999999</v>
      </c>
      <c r="J277" s="33" t="n">
        <v>0.52428810720268</v>
      </c>
      <c r="K277" s="33" t="n">
        <v>237.0275689223058</v>
      </c>
      <c r="L277" s="33" t="n">
        <v>579.2319598187086</v>
      </c>
      <c r="M277" s="33" t="n">
        <v>1247878.977315474</v>
      </c>
      <c r="N277" s="33" t="n">
        <v>238130</v>
      </c>
      <c r="O277" s="34" t="n">
        <v>0</v>
      </c>
      <c r="P277" s="34" t="n">
        <v>0.06535749501550819</v>
      </c>
      <c r="Q277" s="34" t="n">
        <v>-0.0566849351687957</v>
      </c>
      <c r="R277" s="31" t="n">
        <v>1200</v>
      </c>
      <c r="S277" s="31" t="n">
        <v>200</v>
      </c>
      <c r="T277" s="31" t="inlineStr">
        <is>
          <t>L</t>
        </is>
      </c>
      <c r="U277" s="31" t="inlineStr">
        <is>
          <t>Balanced</t>
        </is>
      </c>
      <c r="V277" s="31" t="inlineStr">
        <is>
          <t>NEW DEVELOPMENT RESULT</t>
        </is>
      </c>
      <c r="W277" s="31" t="n">
        <v>0.0009452630134992</v>
      </c>
    </row>
    <row r="278" ht="24" customHeight="1">
      <c r="A278" s="31" t="inlineStr">
        <is>
          <t>D016__SP__8101</t>
        </is>
      </c>
      <c r="B278" s="31" t="inlineStr">
        <is>
          <t>D016</t>
        </is>
      </c>
      <c r="C278" s="31" t="inlineStr">
        <is>
          <t>SP</t>
        </is>
      </c>
      <c r="D278" s="31" t="n">
        <v>8101</v>
      </c>
      <c r="E278" s="31" t="n">
        <v>611</v>
      </c>
      <c r="F278" s="33" t="n">
        <v>299.7643207855974</v>
      </c>
      <c r="G278" s="33" t="n">
        <v>797.3701565493983</v>
      </c>
      <c r="H278" s="33" t="n">
        <v>3203.72</v>
      </c>
      <c r="I278" s="33" t="n">
        <v>317</v>
      </c>
      <c r="J278" s="33" t="n">
        <v>0.3322422258592471</v>
      </c>
      <c r="K278" s="33" t="n">
        <v>246.9867724867725</v>
      </c>
      <c r="L278" s="33" t="n">
        <v>607.6499770611385</v>
      </c>
      <c r="M278" s="33" t="n">
        <v>716884.8569807928</v>
      </c>
      <c r="N278" s="33" t="n">
        <v>86065</v>
      </c>
      <c r="O278" s="34" t="n">
        <v>0</v>
      </c>
      <c r="P278" s="34" t="n">
        <v>0.0555224338877393</v>
      </c>
      <c r="Q278" s="34" t="n">
        <v>0.0152915337997039</v>
      </c>
      <c r="R278" s="31" t="n">
        <v>1200</v>
      </c>
      <c r="S278" s="31" t="n">
        <v>200</v>
      </c>
      <c r="T278" s="31" t="inlineStr">
        <is>
          <t>L</t>
        </is>
      </c>
      <c r="U278" s="31" t="inlineStr">
        <is>
          <t>Arterial</t>
        </is>
      </c>
      <c r="V278" s="31" t="inlineStr">
        <is>
          <t>NEW DEVELOPMENT RESULT</t>
        </is>
      </c>
      <c r="W278" s="31" t="n">
        <v>0.0015196726212081</v>
      </c>
    </row>
    <row r="279" ht="24" customHeight="1">
      <c r="A279" s="31" t="inlineStr">
        <is>
          <t>D016__SP__8102</t>
        </is>
      </c>
      <c r="B279" s="31" t="inlineStr">
        <is>
          <t>D016</t>
        </is>
      </c>
      <c r="C279" s="31" t="inlineStr">
        <is>
          <t>SP</t>
        </is>
      </c>
      <c r="D279" s="31" t="n">
        <v>8102</v>
      </c>
      <c r="E279" s="31" t="n">
        <v>654</v>
      </c>
      <c r="F279" s="33" t="n">
        <v>310.2324159021406</v>
      </c>
      <c r="G279" s="33" t="n">
        <v>833.6875137584362</v>
      </c>
      <c r="H279" s="33" t="n">
        <v>3203.72</v>
      </c>
      <c r="I279" s="33" t="n">
        <v>336.35</v>
      </c>
      <c r="J279" s="33" t="n">
        <v>0.6146788990825688</v>
      </c>
      <c r="K279" s="33" t="n">
        <v>249.0180878552972</v>
      </c>
      <c r="L279" s="33" t="n">
        <v>613.1871982528231</v>
      </c>
      <c r="M279" s="33" t="n">
        <v>782535.0797218598</v>
      </c>
      <c r="N279" s="33" t="n">
        <v>88726</v>
      </c>
      <c r="O279" s="34" t="n">
        <v>0</v>
      </c>
      <c r="P279" s="34" t="n">
        <v>0.0611521997474209</v>
      </c>
      <c r="Q279" s="34" t="n">
        <v>-0.0221331498644101</v>
      </c>
      <c r="R279" s="31" t="n">
        <v>1200</v>
      </c>
      <c r="S279" s="31" t="n">
        <v>200</v>
      </c>
      <c r="T279" s="31" t="inlineStr">
        <is>
          <t>L</t>
        </is>
      </c>
      <c r="U279" s="31" t="inlineStr">
        <is>
          <t>Arterial</t>
        </is>
      </c>
      <c r="V279" s="31" t="inlineStr">
        <is>
          <t>NEW DEVELOPMENT RESULT</t>
        </is>
      </c>
      <c r="W279" s="31" t="n">
        <v>0.0015117763495211</v>
      </c>
    </row>
    <row r="280" ht="24" customHeight="1">
      <c r="A280" s="31" t="inlineStr">
        <is>
          <t>D016__SP__8103</t>
        </is>
      </c>
      <c r="B280" s="31" t="inlineStr">
        <is>
          <t>D016</t>
        </is>
      </c>
      <c r="C280" s="31" t="inlineStr">
        <is>
          <t>SP</t>
        </is>
      </c>
      <c r="D280" s="31" t="n">
        <v>8103</v>
      </c>
      <c r="E280" s="31" t="n">
        <v>597</v>
      </c>
      <c r="F280" s="33" t="n">
        <v>300.214405360134</v>
      </c>
      <c r="G280" s="33" t="n">
        <v>798.5743804806762</v>
      </c>
      <c r="H280" s="33" t="n">
        <v>3203.72</v>
      </c>
      <c r="I280" s="33" t="n">
        <v>323</v>
      </c>
      <c r="J280" s="33" t="n">
        <v>0.4304857621440536</v>
      </c>
      <c r="K280" s="33" t="n">
        <v>247.0275689223058</v>
      </c>
      <c r="L280" s="33" t="n">
        <v>607.6764235974201</v>
      </c>
      <c r="M280" s="33" t="n">
        <v>719211.7981623342</v>
      </c>
      <c r="N280" s="33" t="n">
        <v>80078</v>
      </c>
      <c r="O280" s="34" t="n">
        <v>0</v>
      </c>
      <c r="P280" s="34" t="n">
        <v>0.0586650321025394</v>
      </c>
      <c r="Q280" s="34" t="n">
        <v>-0.0069894721701779</v>
      </c>
      <c r="R280" s="31" t="n">
        <v>1200</v>
      </c>
      <c r="S280" s="31" t="n">
        <v>200</v>
      </c>
      <c r="T280" s="31" t="inlineStr">
        <is>
          <t>L</t>
        </is>
      </c>
      <c r="U280" s="31" t="inlineStr">
        <is>
          <t>Arterial</t>
        </is>
      </c>
      <c r="V280" s="31" t="inlineStr">
        <is>
          <t>NEW DEVELOPMENT RESULT</t>
        </is>
      </c>
      <c r="W280" s="31" t="n">
        <v>0.0015595037650729</v>
      </c>
    </row>
    <row r="281" ht="24" customHeight="1">
      <c r="A281" s="31" t="inlineStr">
        <is>
          <t>D016__DTT__8101</t>
        </is>
      </c>
      <c r="B281" s="31" t="inlineStr">
        <is>
          <t>D016</t>
        </is>
      </c>
      <c r="C281" s="31" t="inlineStr">
        <is>
          <t>DTT</t>
        </is>
      </c>
      <c r="D281" s="31" t="n">
        <v>8101</v>
      </c>
      <c r="E281" s="31" t="n">
        <v>611</v>
      </c>
      <c r="F281" s="33" t="n">
        <v>358.4075286415712</v>
      </c>
      <c r="G281" s="33" t="n">
        <v>956.1135184075628</v>
      </c>
      <c r="H281" s="33" t="n">
        <v>3403.930490998363</v>
      </c>
      <c r="I281" s="33" t="n">
        <v>606</v>
      </c>
      <c r="J281" s="33" t="n">
        <v>0.3306055646481178</v>
      </c>
      <c r="K281" s="33" t="n">
        <v>246.9867724867725</v>
      </c>
      <c r="L281" s="33" t="n">
        <v>607.6499770611385</v>
      </c>
      <c r="M281" s="33" t="n">
        <v>813877.0510761313</v>
      </c>
      <c r="N281" s="33" t="n">
        <v>107312</v>
      </c>
      <c r="O281" s="34" t="n">
        <v>0.4010886882634094</v>
      </c>
      <c r="P281" s="34" t="n">
        <v>0.1556872746475769</v>
      </c>
      <c r="Q281" s="34" t="n">
        <v>0.0003020706104844</v>
      </c>
      <c r="R281" s="31" t="n">
        <v>1200</v>
      </c>
      <c r="S281" s="31" t="n">
        <v>200</v>
      </c>
      <c r="T281" s="31" t="inlineStr">
        <is>
          <t>L</t>
        </is>
      </c>
      <c r="U281" s="31" t="inlineStr">
        <is>
          <t>Arterial</t>
        </is>
      </c>
      <c r="V281" s="31" t="inlineStr">
        <is>
          <t>NEW DEVELOPMENT RESULT</t>
        </is>
      </c>
      <c r="W281" s="31" t="n">
        <v>0.0013339836066069</v>
      </c>
    </row>
    <row r="282" ht="24" customHeight="1">
      <c r="A282" s="31" t="inlineStr">
        <is>
          <t>D016__DTT__8102</t>
        </is>
      </c>
      <c r="B282" s="31" t="inlineStr">
        <is>
          <t>D016</t>
        </is>
      </c>
      <c r="C282" s="31" t="inlineStr">
        <is>
          <t>DTT</t>
        </is>
      </c>
      <c r="D282" s="31" t="n">
        <v>8102</v>
      </c>
      <c r="E282" s="31" t="n">
        <v>654</v>
      </c>
      <c r="F282" s="33" t="n">
        <v>346.9510703363914</v>
      </c>
      <c r="G282" s="33" t="n">
        <v>930.7220337723264</v>
      </c>
      <c r="H282" s="33" t="n">
        <v>3356.630825688073</v>
      </c>
      <c r="I282" s="33" t="n">
        <v>589.35</v>
      </c>
      <c r="J282" s="33" t="n">
        <v>0.5886850152905199</v>
      </c>
      <c r="K282" s="33" t="n">
        <v>249.0180878552972</v>
      </c>
      <c r="L282" s="33" t="n">
        <v>613.1871982528231</v>
      </c>
      <c r="M282" s="33" t="n">
        <v>845995.6558109439</v>
      </c>
      <c r="N282" s="33" t="n">
        <v>101691</v>
      </c>
      <c r="O282" s="34" t="n">
        <v>0.3278980891719745</v>
      </c>
      <c r="P282" s="34" t="n">
        <v>0.1442987035931232</v>
      </c>
      <c r="Q282" s="34" t="n">
        <v>0.0035090519967233</v>
      </c>
      <c r="R282" s="31" t="n">
        <v>1200</v>
      </c>
      <c r="S282" s="31" t="n">
        <v>200</v>
      </c>
      <c r="T282" s="31" t="inlineStr">
        <is>
          <t>L</t>
        </is>
      </c>
      <c r="U282" s="31" t="inlineStr">
        <is>
          <t>Arterial</t>
        </is>
      </c>
      <c r="V282" s="31" t="inlineStr">
        <is>
          <t>NEW DEVELOPMENT RESULT</t>
        </is>
      </c>
      <c r="W282" s="31" t="n">
        <v>0.0013814823804998</v>
      </c>
    </row>
    <row r="283" ht="24" customHeight="1">
      <c r="A283" s="31" t="inlineStr">
        <is>
          <t>D016__DTT__8103</t>
        </is>
      </c>
      <c r="B283" s="31" t="inlineStr">
        <is>
          <t>D016</t>
        </is>
      </c>
      <c r="C283" s="31" t="inlineStr">
        <is>
          <t>DTT</t>
        </is>
      </c>
      <c r="D283" s="31" t="n">
        <v>8103</v>
      </c>
      <c r="E283" s="31" t="n">
        <v>597</v>
      </c>
      <c r="F283" s="33" t="n">
        <v>349.4120603015076</v>
      </c>
      <c r="G283" s="33" t="n">
        <v>929.6520823848958</v>
      </c>
      <c r="H283" s="33" t="n">
        <v>3410.68757118928</v>
      </c>
      <c r="I283" s="33" t="n">
        <v>558.1999999999999</v>
      </c>
      <c r="J283" s="33" t="n">
        <v>0.4304857621440536</v>
      </c>
      <c r="K283" s="33" t="n">
        <v>247.0275689223058</v>
      </c>
      <c r="L283" s="33" t="n">
        <v>607.6764235974201</v>
      </c>
      <c r="M283" s="33" t="n">
        <v>797465.1861991535</v>
      </c>
      <c r="N283" s="33" t="n">
        <v>95280</v>
      </c>
      <c r="O283" s="34" t="n">
        <v>0.3939352917287126</v>
      </c>
      <c r="P283" s="34" t="n">
        <v>0.1572430829893485</v>
      </c>
      <c r="Q283" s="34" t="n">
        <v>0.0337204277855421</v>
      </c>
      <c r="R283" s="31" t="n">
        <v>1200</v>
      </c>
      <c r="S283" s="31" t="n">
        <v>200</v>
      </c>
      <c r="T283" s="31" t="inlineStr">
        <is>
          <t>L</t>
        </is>
      </c>
      <c r="U283" s="31" t="inlineStr">
        <is>
          <t>Arterial</t>
        </is>
      </c>
      <c r="V283" s="31" t="inlineStr">
        <is>
          <t>NEW DEVELOPMENT RESULT</t>
        </is>
      </c>
      <c r="W283" s="31" t="n">
        <v>0.0013855312444946</v>
      </c>
    </row>
    <row r="284" ht="24" customHeight="1">
      <c r="A284" s="31" t="inlineStr">
        <is>
          <t>D016__ECO__8101</t>
        </is>
      </c>
      <c r="B284" s="31" t="inlineStr">
        <is>
          <t>D016</t>
        </is>
      </c>
      <c r="C284" s="31" t="inlineStr">
        <is>
          <t>ECO</t>
        </is>
      </c>
      <c r="D284" s="31" t="n">
        <v>8101</v>
      </c>
      <c r="E284" s="31" t="n">
        <v>611</v>
      </c>
      <c r="F284" s="33" t="n">
        <v>299.7643207855974</v>
      </c>
      <c r="G284" s="33" t="n">
        <v>797.3701565493983</v>
      </c>
      <c r="H284" s="33" t="n">
        <v>3203.72</v>
      </c>
      <c r="I284" s="33" t="n">
        <v>317</v>
      </c>
      <c r="J284" s="33" t="n">
        <v>0.3322422258592471</v>
      </c>
      <c r="K284" s="33" t="n">
        <v>246.9867724867725</v>
      </c>
      <c r="L284" s="33" t="n">
        <v>607.6499770611385</v>
      </c>
      <c r="M284" s="33" t="n">
        <v>716884.8569807928</v>
      </c>
      <c r="N284" s="33" t="n">
        <v>86065</v>
      </c>
      <c r="O284" s="34" t="n">
        <v>0</v>
      </c>
      <c r="P284" s="34" t="n">
        <v>0.0555224338877393</v>
      </c>
      <c r="Q284" s="34" t="n">
        <v>0.0152915337997039</v>
      </c>
      <c r="R284" s="31" t="n">
        <v>1200</v>
      </c>
      <c r="S284" s="31" t="n">
        <v>200</v>
      </c>
      <c r="T284" s="31" t="inlineStr">
        <is>
          <t>L</t>
        </is>
      </c>
      <c r="U284" s="31" t="inlineStr">
        <is>
          <t>Arterial</t>
        </is>
      </c>
      <c r="V284" s="31" t="inlineStr">
        <is>
          <t>NEW DEVELOPMENT RESULT</t>
        </is>
      </c>
      <c r="W284" s="31" t="n">
        <v>0.0015196726212081</v>
      </c>
    </row>
    <row r="285" ht="24" customHeight="1">
      <c r="A285" s="31" t="inlineStr">
        <is>
          <t>D016__ECO__8102</t>
        </is>
      </c>
      <c r="B285" s="31" t="inlineStr">
        <is>
          <t>D016</t>
        </is>
      </c>
      <c r="C285" s="31" t="inlineStr">
        <is>
          <t>ECO</t>
        </is>
      </c>
      <c r="D285" s="31" t="n">
        <v>8102</v>
      </c>
      <c r="E285" s="31" t="n">
        <v>654</v>
      </c>
      <c r="F285" s="33" t="n">
        <v>310.2324159021406</v>
      </c>
      <c r="G285" s="33" t="n">
        <v>833.6875137584362</v>
      </c>
      <c r="H285" s="33" t="n">
        <v>3203.72</v>
      </c>
      <c r="I285" s="33" t="n">
        <v>336.35</v>
      </c>
      <c r="J285" s="33" t="n">
        <v>0.6146788990825688</v>
      </c>
      <c r="K285" s="33" t="n">
        <v>249.0180878552972</v>
      </c>
      <c r="L285" s="33" t="n">
        <v>613.1871982528231</v>
      </c>
      <c r="M285" s="33" t="n">
        <v>782535.0797218598</v>
      </c>
      <c r="N285" s="33" t="n">
        <v>88726</v>
      </c>
      <c r="O285" s="34" t="n">
        <v>0</v>
      </c>
      <c r="P285" s="34" t="n">
        <v>0.0611521997474209</v>
      </c>
      <c r="Q285" s="34" t="n">
        <v>-0.0221331498644101</v>
      </c>
      <c r="R285" s="31" t="n">
        <v>1200</v>
      </c>
      <c r="S285" s="31" t="n">
        <v>200</v>
      </c>
      <c r="T285" s="31" t="inlineStr">
        <is>
          <t>L</t>
        </is>
      </c>
      <c r="U285" s="31" t="inlineStr">
        <is>
          <t>Arterial</t>
        </is>
      </c>
      <c r="V285" s="31" t="inlineStr">
        <is>
          <t>NEW DEVELOPMENT RESULT</t>
        </is>
      </c>
      <c r="W285" s="31" t="n">
        <v>0.0015117763495211</v>
      </c>
    </row>
    <row r="286" ht="24" customHeight="1">
      <c r="A286" s="31" t="inlineStr">
        <is>
          <t>D016__ECO__8103</t>
        </is>
      </c>
      <c r="B286" s="31" t="inlineStr">
        <is>
          <t>D016</t>
        </is>
      </c>
      <c r="C286" s="31" t="inlineStr">
        <is>
          <t>ECO</t>
        </is>
      </c>
      <c r="D286" s="31" t="n">
        <v>8103</v>
      </c>
      <c r="E286" s="31" t="n">
        <v>597</v>
      </c>
      <c r="F286" s="33" t="n">
        <v>300.214405360134</v>
      </c>
      <c r="G286" s="33" t="n">
        <v>798.5743804806762</v>
      </c>
      <c r="H286" s="33" t="n">
        <v>3203.72</v>
      </c>
      <c r="I286" s="33" t="n">
        <v>323</v>
      </c>
      <c r="J286" s="33" t="n">
        <v>0.4304857621440536</v>
      </c>
      <c r="K286" s="33" t="n">
        <v>247.0275689223058</v>
      </c>
      <c r="L286" s="33" t="n">
        <v>607.6764235974201</v>
      </c>
      <c r="M286" s="33" t="n">
        <v>719211.7981623342</v>
      </c>
      <c r="N286" s="33" t="n">
        <v>80078</v>
      </c>
      <c r="O286" s="34" t="n">
        <v>0</v>
      </c>
      <c r="P286" s="34" t="n">
        <v>0.0586650321025394</v>
      </c>
      <c r="Q286" s="34" t="n">
        <v>-0.0069894721701779</v>
      </c>
      <c r="R286" s="31" t="n">
        <v>1200</v>
      </c>
      <c r="S286" s="31" t="n">
        <v>200</v>
      </c>
      <c r="T286" s="31" t="inlineStr">
        <is>
          <t>L</t>
        </is>
      </c>
      <c r="U286" s="31" t="inlineStr">
        <is>
          <t>Arterial</t>
        </is>
      </c>
      <c r="V286" s="31" t="inlineStr">
        <is>
          <t>NEW DEVELOPMENT RESULT</t>
        </is>
      </c>
      <c r="W286" s="31" t="n">
        <v>0.0015595037650729</v>
      </c>
    </row>
    <row r="287" ht="24" customHeight="1">
      <c r="A287" s="31" t="inlineStr">
        <is>
          <t>D016__TECO05__8101</t>
        </is>
      </c>
      <c r="B287" s="31" t="inlineStr">
        <is>
          <t>D016</t>
        </is>
      </c>
      <c r="C287" s="31" t="inlineStr">
        <is>
          <t>TECO05</t>
        </is>
      </c>
      <c r="D287" s="31" t="n">
        <v>8101</v>
      </c>
      <c r="E287" s="31" t="n">
        <v>611</v>
      </c>
      <c r="F287" s="33" t="n">
        <v>309.7234042553192</v>
      </c>
      <c r="G287" s="33" t="n">
        <v>825.2414363284095</v>
      </c>
      <c r="H287" s="33" t="n">
        <v>3281.759934533552</v>
      </c>
      <c r="I287" s="33" t="n">
        <v>411</v>
      </c>
      <c r="J287" s="33" t="n">
        <v>0.3322422258592471</v>
      </c>
      <c r="K287" s="33" t="n">
        <v>246.9867724867725</v>
      </c>
      <c r="L287" s="33" t="n">
        <v>607.6499770611385</v>
      </c>
      <c r="M287" s="33" t="n">
        <v>733914.2089257686</v>
      </c>
      <c r="N287" s="33" t="n">
        <v>88012</v>
      </c>
      <c r="O287" s="34" t="n">
        <v>0.1289679715302491</v>
      </c>
      <c r="P287" s="34" t="n">
        <v>0.1003400998948029</v>
      </c>
      <c r="Q287" s="34" t="n">
        <v>0.0401118776210649</v>
      </c>
      <c r="R287" s="31" t="n">
        <v>1200</v>
      </c>
      <c r="S287" s="31" t="n">
        <v>200</v>
      </c>
      <c r="T287" s="31" t="inlineStr">
        <is>
          <t>L</t>
        </is>
      </c>
      <c r="U287" s="31" t="inlineStr">
        <is>
          <t>Arterial</t>
        </is>
      </c>
      <c r="V287" s="31" t="inlineStr">
        <is>
          <t>NEW DEVELOPMENT RESULT</t>
        </is>
      </c>
      <c r="W287" s="31" t="n">
        <v>0.0014681271685907</v>
      </c>
    </row>
    <row r="288" ht="24" customHeight="1">
      <c r="A288" s="31" t="inlineStr">
        <is>
          <t>D016__TECO05__8102</t>
        </is>
      </c>
      <c r="B288" s="31" t="inlineStr">
        <is>
          <t>D016</t>
        </is>
      </c>
      <c r="C288" s="31" t="inlineStr">
        <is>
          <t>TECO05</t>
        </is>
      </c>
      <c r="D288" s="31" t="n">
        <v>8102</v>
      </c>
      <c r="E288" s="31" t="n">
        <v>654</v>
      </c>
      <c r="F288" s="33" t="n">
        <v>328.3960244648318</v>
      </c>
      <c r="G288" s="33" t="n">
        <v>880.8391604470222</v>
      </c>
      <c r="H288" s="33" t="n">
        <v>3298.029220183487</v>
      </c>
      <c r="I288" s="33" t="n">
        <v>453</v>
      </c>
      <c r="J288" s="33" t="n">
        <v>0.6146788990825688</v>
      </c>
      <c r="K288" s="33" t="n">
        <v>267.2351421188631</v>
      </c>
      <c r="L288" s="33" t="n">
        <v>664.6525625802662</v>
      </c>
      <c r="M288" s="33" t="n">
        <v>833289.3526509156</v>
      </c>
      <c r="N288" s="33" t="n">
        <v>100163</v>
      </c>
      <c r="O288" s="34" t="n">
        <v>0.1271464149954122</v>
      </c>
      <c r="P288" s="34" t="n">
        <v>0.1002644325956783</v>
      </c>
      <c r="Q288" s="34" t="n">
        <v>-0.0277572396300269</v>
      </c>
      <c r="R288" s="31" t="n">
        <v>1200</v>
      </c>
      <c r="S288" s="31" t="n">
        <v>200</v>
      </c>
      <c r="T288" s="31" t="inlineStr">
        <is>
          <t>L</t>
        </is>
      </c>
      <c r="U288" s="31" t="inlineStr">
        <is>
          <t>Arterial</t>
        </is>
      </c>
      <c r="V288" s="31" t="inlineStr">
        <is>
          <t>NEW DEVELOPMENT RESULT</t>
        </is>
      </c>
      <c r="W288" s="31" t="n">
        <v>0.0014166956203374</v>
      </c>
    </row>
    <row r="289" ht="24" customHeight="1">
      <c r="A289" s="31" t="inlineStr">
        <is>
          <t>D016__TECO05__8103</t>
        </is>
      </c>
      <c r="B289" s="31" t="inlineStr">
        <is>
          <t>D016</t>
        </is>
      </c>
      <c r="C289" s="31" t="inlineStr">
        <is>
          <t>TECO05</t>
        </is>
      </c>
      <c r="D289" s="31" t="n">
        <v>8103</v>
      </c>
      <c r="E289" s="31" t="n">
        <v>597</v>
      </c>
      <c r="F289" s="33" t="n">
        <v>301.7001675041876</v>
      </c>
      <c r="G289" s="33" t="n">
        <v>802.4602765051839</v>
      </c>
      <c r="H289" s="33" t="n">
        <v>3225.789346733669</v>
      </c>
      <c r="I289" s="33" t="n">
        <v>331</v>
      </c>
      <c r="J289" s="33" t="n">
        <v>0.4304857621440536</v>
      </c>
      <c r="K289" s="33" t="n">
        <v>247.0275689223058</v>
      </c>
      <c r="L289" s="33" t="n">
        <v>607.6764235974201</v>
      </c>
      <c r="M289" s="33" t="n">
        <v>721531.6780889654</v>
      </c>
      <c r="N289" s="33" t="n">
        <v>79942</v>
      </c>
      <c r="O289" s="34" t="n">
        <v>0.0410464591790708</v>
      </c>
      <c r="P289" s="34" t="n">
        <v>0.0737291214711462</v>
      </c>
      <c r="Q289" s="34" t="n">
        <v>-0.0001879254970032</v>
      </c>
      <c r="R289" s="31" t="n">
        <v>1200</v>
      </c>
      <c r="S289" s="31" t="n">
        <v>200</v>
      </c>
      <c r="T289" s="31" t="inlineStr">
        <is>
          <t>L</t>
        </is>
      </c>
      <c r="U289" s="31" t="inlineStr">
        <is>
          <t>Arterial</t>
        </is>
      </c>
      <c r="V289" s="31" t="inlineStr">
        <is>
          <t>NEW DEVELOPMENT RESULT</t>
        </is>
      </c>
      <c r="W289" s="31" t="n">
        <v>0.0015490761347823</v>
      </c>
    </row>
    <row r="290" ht="24" customHeight="1">
      <c r="A290" s="31" t="inlineStr">
        <is>
          <t>D016__TECO10__8101</t>
        </is>
      </c>
      <c r="B290" s="31" t="inlineStr">
        <is>
          <t>D016</t>
        </is>
      </c>
      <c r="C290" s="31" t="inlineStr">
        <is>
          <t>TECO10</t>
        </is>
      </c>
      <c r="D290" s="31" t="n">
        <v>8101</v>
      </c>
      <c r="E290" s="31" t="n">
        <v>611</v>
      </c>
      <c r="F290" s="33" t="n">
        <v>299.7643207855974</v>
      </c>
      <c r="G290" s="33" t="n">
        <v>797.3701565493983</v>
      </c>
      <c r="H290" s="33" t="n">
        <v>3203.72</v>
      </c>
      <c r="I290" s="33" t="n">
        <v>317</v>
      </c>
      <c r="J290" s="33" t="n">
        <v>0.3322422258592471</v>
      </c>
      <c r="K290" s="33" t="n">
        <v>246.9867724867725</v>
      </c>
      <c r="L290" s="33" t="n">
        <v>607.6499770611385</v>
      </c>
      <c r="M290" s="33" t="n">
        <v>716884.8569807928</v>
      </c>
      <c r="N290" s="33" t="n">
        <v>86065</v>
      </c>
      <c r="O290" s="34" t="n">
        <v>0</v>
      </c>
      <c r="P290" s="34" t="n">
        <v>0.0555224338877393</v>
      </c>
      <c r="Q290" s="34" t="n">
        <v>0.0152915337997039</v>
      </c>
      <c r="R290" s="31" t="n">
        <v>1200</v>
      </c>
      <c r="S290" s="31" t="n">
        <v>200</v>
      </c>
      <c r="T290" s="31" t="inlineStr">
        <is>
          <t>L</t>
        </is>
      </c>
      <c r="U290" s="31" t="inlineStr">
        <is>
          <t>Arterial</t>
        </is>
      </c>
      <c r="V290" s="31" t="inlineStr">
        <is>
          <t>NEW DEVELOPMENT RESULT</t>
        </is>
      </c>
      <c r="W290" s="31" t="n">
        <v>0.0015196726212081</v>
      </c>
    </row>
    <row r="291" ht="24" customHeight="1">
      <c r="A291" s="31" t="inlineStr">
        <is>
          <t>D016__TECO10__8102</t>
        </is>
      </c>
      <c r="B291" s="31" t="inlineStr">
        <is>
          <t>D016</t>
        </is>
      </c>
      <c r="C291" s="31" t="inlineStr">
        <is>
          <t>TECO10</t>
        </is>
      </c>
      <c r="D291" s="31" t="n">
        <v>8102</v>
      </c>
      <c r="E291" s="31" t="n">
        <v>654</v>
      </c>
      <c r="F291" s="33" t="n">
        <v>310.2324159021406</v>
      </c>
      <c r="G291" s="33" t="n">
        <v>833.6875137584362</v>
      </c>
      <c r="H291" s="33" t="n">
        <v>3203.72</v>
      </c>
      <c r="I291" s="33" t="n">
        <v>336.35</v>
      </c>
      <c r="J291" s="33" t="n">
        <v>0.6146788990825688</v>
      </c>
      <c r="K291" s="33" t="n">
        <v>249.0180878552972</v>
      </c>
      <c r="L291" s="33" t="n">
        <v>613.1871982528231</v>
      </c>
      <c r="M291" s="33" t="n">
        <v>782535.0797218598</v>
      </c>
      <c r="N291" s="33" t="n">
        <v>88726</v>
      </c>
      <c r="O291" s="34" t="n">
        <v>0</v>
      </c>
      <c r="P291" s="34" t="n">
        <v>0.0611521997474209</v>
      </c>
      <c r="Q291" s="34" t="n">
        <v>-0.0221331498644101</v>
      </c>
      <c r="R291" s="31" t="n">
        <v>1200</v>
      </c>
      <c r="S291" s="31" t="n">
        <v>200</v>
      </c>
      <c r="T291" s="31" t="inlineStr">
        <is>
          <t>L</t>
        </is>
      </c>
      <c r="U291" s="31" t="inlineStr">
        <is>
          <t>Arterial</t>
        </is>
      </c>
      <c r="V291" s="31" t="inlineStr">
        <is>
          <t>NEW DEVELOPMENT RESULT</t>
        </is>
      </c>
      <c r="W291" s="31" t="n">
        <v>0.0015117763495211</v>
      </c>
    </row>
    <row r="292" ht="24" customHeight="1">
      <c r="A292" s="31" t="inlineStr">
        <is>
          <t>D016__TECO10__8103</t>
        </is>
      </c>
      <c r="B292" s="31" t="inlineStr">
        <is>
          <t>D016</t>
        </is>
      </c>
      <c r="C292" s="31" t="inlineStr">
        <is>
          <t>TECO10</t>
        </is>
      </c>
      <c r="D292" s="31" t="n">
        <v>8103</v>
      </c>
      <c r="E292" s="31" t="n">
        <v>597</v>
      </c>
      <c r="F292" s="33" t="n">
        <v>300.214405360134</v>
      </c>
      <c r="G292" s="33" t="n">
        <v>798.5743804806762</v>
      </c>
      <c r="H292" s="33" t="n">
        <v>3203.72</v>
      </c>
      <c r="I292" s="33" t="n">
        <v>323</v>
      </c>
      <c r="J292" s="33" t="n">
        <v>0.4304857621440536</v>
      </c>
      <c r="K292" s="33" t="n">
        <v>247.0275689223058</v>
      </c>
      <c r="L292" s="33" t="n">
        <v>607.6764235974201</v>
      </c>
      <c r="M292" s="33" t="n">
        <v>719211.7981623342</v>
      </c>
      <c r="N292" s="33" t="n">
        <v>80078</v>
      </c>
      <c r="O292" s="34" t="n">
        <v>0</v>
      </c>
      <c r="P292" s="34" t="n">
        <v>0.0586650321025394</v>
      </c>
      <c r="Q292" s="34" t="n">
        <v>-0.0069894721701779</v>
      </c>
      <c r="R292" s="31" t="n">
        <v>1200</v>
      </c>
      <c r="S292" s="31" t="n">
        <v>200</v>
      </c>
      <c r="T292" s="31" t="inlineStr">
        <is>
          <t>L</t>
        </is>
      </c>
      <c r="U292" s="31" t="inlineStr">
        <is>
          <t>Arterial</t>
        </is>
      </c>
      <c r="V292" s="31" t="inlineStr">
        <is>
          <t>NEW DEVELOPMENT RESULT</t>
        </is>
      </c>
      <c r="W292" s="31" t="n">
        <v>0.0015595037650729</v>
      </c>
    </row>
    <row r="293" ht="24" customHeight="1">
      <c r="A293" s="31" t="inlineStr">
        <is>
          <t>D016__TECO15__8101</t>
        </is>
      </c>
      <c r="B293" s="31" t="inlineStr">
        <is>
          <t>D016</t>
        </is>
      </c>
      <c r="C293" s="31" t="inlineStr">
        <is>
          <t>TECO15</t>
        </is>
      </c>
      <c r="D293" s="31" t="n">
        <v>8101</v>
      </c>
      <c r="E293" s="31" t="n">
        <v>611</v>
      </c>
      <c r="F293" s="33" t="n">
        <v>299.7643207855974</v>
      </c>
      <c r="G293" s="33" t="n">
        <v>797.3701565493983</v>
      </c>
      <c r="H293" s="33" t="n">
        <v>3203.72</v>
      </c>
      <c r="I293" s="33" t="n">
        <v>317</v>
      </c>
      <c r="J293" s="33" t="n">
        <v>0.3322422258592471</v>
      </c>
      <c r="K293" s="33" t="n">
        <v>246.9867724867725</v>
      </c>
      <c r="L293" s="33" t="n">
        <v>607.6499770611385</v>
      </c>
      <c r="M293" s="33" t="n">
        <v>716884.8569807928</v>
      </c>
      <c r="N293" s="33" t="n">
        <v>86065</v>
      </c>
      <c r="O293" s="34" t="n">
        <v>0</v>
      </c>
      <c r="P293" s="34" t="n">
        <v>0.0555224338877393</v>
      </c>
      <c r="Q293" s="34" t="n">
        <v>0.0152915337997039</v>
      </c>
      <c r="R293" s="31" t="n">
        <v>1200</v>
      </c>
      <c r="S293" s="31" t="n">
        <v>200</v>
      </c>
      <c r="T293" s="31" t="inlineStr">
        <is>
          <t>L</t>
        </is>
      </c>
      <c r="U293" s="31" t="inlineStr">
        <is>
          <t>Arterial</t>
        </is>
      </c>
      <c r="V293" s="31" t="inlineStr">
        <is>
          <t>NEW DEVELOPMENT RESULT</t>
        </is>
      </c>
      <c r="W293" s="31" t="n">
        <v>0.0015196726212081</v>
      </c>
    </row>
    <row r="294" ht="24" customHeight="1">
      <c r="A294" s="31" t="inlineStr">
        <is>
          <t>D016__TECO15__8102</t>
        </is>
      </c>
      <c r="B294" s="31" t="inlineStr">
        <is>
          <t>D016</t>
        </is>
      </c>
      <c r="C294" s="31" t="inlineStr">
        <is>
          <t>TECO15</t>
        </is>
      </c>
      <c r="D294" s="31" t="n">
        <v>8102</v>
      </c>
      <c r="E294" s="31" t="n">
        <v>654</v>
      </c>
      <c r="F294" s="33" t="n">
        <v>310.2324159021406</v>
      </c>
      <c r="G294" s="33" t="n">
        <v>833.6875137584362</v>
      </c>
      <c r="H294" s="33" t="n">
        <v>3203.72</v>
      </c>
      <c r="I294" s="33" t="n">
        <v>336.35</v>
      </c>
      <c r="J294" s="33" t="n">
        <v>0.6146788990825688</v>
      </c>
      <c r="K294" s="33" t="n">
        <v>249.0180878552972</v>
      </c>
      <c r="L294" s="33" t="n">
        <v>613.1871982528231</v>
      </c>
      <c r="M294" s="33" t="n">
        <v>782535.0797218598</v>
      </c>
      <c r="N294" s="33" t="n">
        <v>88726</v>
      </c>
      <c r="O294" s="34" t="n">
        <v>0</v>
      </c>
      <c r="P294" s="34" t="n">
        <v>0.0611521997474209</v>
      </c>
      <c r="Q294" s="34" t="n">
        <v>-0.0221331498644101</v>
      </c>
      <c r="R294" s="31" t="n">
        <v>1200</v>
      </c>
      <c r="S294" s="31" t="n">
        <v>200</v>
      </c>
      <c r="T294" s="31" t="inlineStr">
        <is>
          <t>L</t>
        </is>
      </c>
      <c r="U294" s="31" t="inlineStr">
        <is>
          <t>Arterial</t>
        </is>
      </c>
      <c r="V294" s="31" t="inlineStr">
        <is>
          <t>NEW DEVELOPMENT RESULT</t>
        </is>
      </c>
      <c r="W294" s="31" t="n">
        <v>0.0015117763495211</v>
      </c>
    </row>
    <row r="295" ht="24" customHeight="1">
      <c r="A295" s="31" t="inlineStr">
        <is>
          <t>D016__TECO15__8103</t>
        </is>
      </c>
      <c r="B295" s="31" t="inlineStr">
        <is>
          <t>D016</t>
        </is>
      </c>
      <c r="C295" s="31" t="inlineStr">
        <is>
          <t>TECO15</t>
        </is>
      </c>
      <c r="D295" s="31" t="n">
        <v>8103</v>
      </c>
      <c r="E295" s="31" t="n">
        <v>597</v>
      </c>
      <c r="F295" s="33" t="n">
        <v>300.214405360134</v>
      </c>
      <c r="G295" s="33" t="n">
        <v>798.5743804806762</v>
      </c>
      <c r="H295" s="33" t="n">
        <v>3203.72</v>
      </c>
      <c r="I295" s="33" t="n">
        <v>323</v>
      </c>
      <c r="J295" s="33" t="n">
        <v>0.4304857621440536</v>
      </c>
      <c r="K295" s="33" t="n">
        <v>247.0275689223058</v>
      </c>
      <c r="L295" s="33" t="n">
        <v>607.6764235974201</v>
      </c>
      <c r="M295" s="33" t="n">
        <v>719211.7981623342</v>
      </c>
      <c r="N295" s="33" t="n">
        <v>80078</v>
      </c>
      <c r="O295" s="34" t="n">
        <v>0</v>
      </c>
      <c r="P295" s="34" t="n">
        <v>0.0586650321025394</v>
      </c>
      <c r="Q295" s="34" t="n">
        <v>-0.0069894721701779</v>
      </c>
      <c r="R295" s="31" t="n">
        <v>1200</v>
      </c>
      <c r="S295" s="31" t="n">
        <v>200</v>
      </c>
      <c r="T295" s="31" t="inlineStr">
        <is>
          <t>L</t>
        </is>
      </c>
      <c r="U295" s="31" t="inlineStr">
        <is>
          <t>Arterial</t>
        </is>
      </c>
      <c r="V295" s="31" t="inlineStr">
        <is>
          <t>NEW DEVELOPMENT RESULT</t>
        </is>
      </c>
      <c r="W295" s="31" t="n">
        <v>0.0015595037650729</v>
      </c>
    </row>
    <row r="296" ht="24" customHeight="1">
      <c r="A296" s="31" t="inlineStr">
        <is>
          <t>D017__SP__8101</t>
        </is>
      </c>
      <c r="B296" s="31" t="inlineStr">
        <is>
          <t>D017</t>
        </is>
      </c>
      <c r="C296" s="31" t="inlineStr">
        <is>
          <t>SP</t>
        </is>
      </c>
      <c r="D296" s="31" t="n">
        <v>8101</v>
      </c>
      <c r="E296" s="31" t="n">
        <v>876</v>
      </c>
      <c r="F296" s="33" t="n">
        <v>1409.590182648402</v>
      </c>
      <c r="G296" s="33" t="n">
        <v>2155.494588134603</v>
      </c>
      <c r="H296" s="33" t="n">
        <v>3203.720000000001</v>
      </c>
      <c r="I296" s="33" t="n">
        <v>2003.5</v>
      </c>
      <c r="J296" s="33" t="n">
        <v>684.5856164383562</v>
      </c>
      <c r="K296" s="33" t="n">
        <v>236.9867724867725</v>
      </c>
      <c r="L296" s="33" t="n">
        <v>578.6863631529501</v>
      </c>
      <c r="M296" s="33" t="n">
        <v>2106956.704477726</v>
      </c>
      <c r="N296" s="33" t="n">
        <v>481832</v>
      </c>
      <c r="O296" s="34" t="n">
        <v>0</v>
      </c>
      <c r="P296" s="34" t="n">
        <v>0.0145060347342963</v>
      </c>
      <c r="Q296" s="34" t="n">
        <v>0.0017784039108109</v>
      </c>
      <c r="R296" s="31" t="n">
        <v>1680</v>
      </c>
      <c r="S296" s="31" t="n">
        <v>200</v>
      </c>
      <c r="T296" s="31" t="inlineStr">
        <is>
          <t>None</t>
        </is>
      </c>
      <c r="U296" s="31" t="inlineStr">
        <is>
          <t>Balanced</t>
        </is>
      </c>
      <c r="V296" s="31" t="inlineStr">
        <is>
          <t>NEW DEVELOPMENT RESULT</t>
        </is>
      </c>
      <c r="W296" s="31" t="n">
        <v>0.0006897155304282999</v>
      </c>
    </row>
    <row r="297" ht="24" customHeight="1">
      <c r="A297" s="31" t="inlineStr">
        <is>
          <t>D017__SP__8102</t>
        </is>
      </c>
      <c r="B297" s="31" t="inlineStr">
        <is>
          <t>D017</t>
        </is>
      </c>
      <c r="C297" s="31" t="inlineStr">
        <is>
          <t>SP</t>
        </is>
      </c>
      <c r="D297" s="31" t="n">
        <v>8102</v>
      </c>
      <c r="E297" s="31" t="n">
        <v>906</v>
      </c>
      <c r="F297" s="33" t="n">
        <v>1386.082781456954</v>
      </c>
      <c r="G297" s="33" t="n">
        <v>2153.771022081836</v>
      </c>
      <c r="H297" s="33" t="n">
        <v>3203.72</v>
      </c>
      <c r="I297" s="33" t="n">
        <v>2027</v>
      </c>
      <c r="J297" s="33" t="n">
        <v>661.8520971302428</v>
      </c>
      <c r="K297" s="33" t="n">
        <v>238.7777777777778</v>
      </c>
      <c r="L297" s="33" t="n">
        <v>583.9838383188488</v>
      </c>
      <c r="M297" s="33" t="n">
        <v>2177318.291435537</v>
      </c>
      <c r="N297" s="33" t="n">
        <v>474374</v>
      </c>
      <c r="O297" s="34" t="n">
        <v>0</v>
      </c>
      <c r="P297" s="34" t="n">
        <v>0.0225603535823422</v>
      </c>
      <c r="Q297" s="34" t="n">
        <v>-0.0072890209881627</v>
      </c>
      <c r="R297" s="31" t="n">
        <v>1680</v>
      </c>
      <c r="S297" s="31" t="n">
        <v>200</v>
      </c>
      <c r="T297" s="31" t="inlineStr">
        <is>
          <t>None</t>
        </is>
      </c>
      <c r="U297" s="31" t="inlineStr">
        <is>
          <t>Balanced</t>
        </is>
      </c>
      <c r="V297" s="31" t="inlineStr">
        <is>
          <t>NEW DEVELOPMENT RESULT</t>
        </is>
      </c>
      <c r="W297" s="31" t="n">
        <v>0.0007034392265704</v>
      </c>
    </row>
    <row r="298" ht="24" customHeight="1">
      <c r="A298" s="31" t="inlineStr">
        <is>
          <t>D017__SP__8103</t>
        </is>
      </c>
      <c r="B298" s="31" t="inlineStr">
        <is>
          <t>D017</t>
        </is>
      </c>
      <c r="C298" s="31" t="inlineStr">
        <is>
          <t>SP</t>
        </is>
      </c>
      <c r="D298" s="31" t="n">
        <v>8103</v>
      </c>
      <c r="E298" s="31" t="n">
        <v>862</v>
      </c>
      <c r="F298" s="33" t="n">
        <v>1318.317865429234</v>
      </c>
      <c r="G298" s="33" t="n">
        <v>2155.62009480528</v>
      </c>
      <c r="H298" s="33" t="n">
        <v>3203.720000000001</v>
      </c>
      <c r="I298" s="33" t="n">
        <v>1931</v>
      </c>
      <c r="J298" s="33" t="n">
        <v>593.4106728538283</v>
      </c>
      <c r="K298" s="33" t="n">
        <v>237.0275689223058</v>
      </c>
      <c r="L298" s="33" t="n">
        <v>579.2319598187086</v>
      </c>
      <c r="M298" s="33" t="n">
        <v>2089258.073689816</v>
      </c>
      <c r="N298" s="33" t="n">
        <v>466746</v>
      </c>
      <c r="O298" s="34" t="n">
        <v>0</v>
      </c>
      <c r="P298" s="34" t="n">
        <v>0.0155482916094154</v>
      </c>
      <c r="Q298" s="34" t="n">
        <v>0.0003530684847753</v>
      </c>
      <c r="R298" s="31" t="n">
        <v>1680</v>
      </c>
      <c r="S298" s="31" t="n">
        <v>200</v>
      </c>
      <c r="T298" s="31" t="inlineStr">
        <is>
          <t>None</t>
        </is>
      </c>
      <c r="U298" s="31" t="inlineStr">
        <is>
          <t>Balanced</t>
        </is>
      </c>
      <c r="V298" s="31" t="inlineStr">
        <is>
          <t>NEW DEVELOPMENT RESULT</t>
        </is>
      </c>
      <c r="W298" s="31" t="n">
        <v>0.0007038621077499</v>
      </c>
    </row>
    <row r="299" ht="24" customHeight="1">
      <c r="A299" s="31" t="inlineStr">
        <is>
          <t>D017__DTT__8101</t>
        </is>
      </c>
      <c r="B299" s="31" t="inlineStr">
        <is>
          <t>D017</t>
        </is>
      </c>
      <c r="C299" s="31" t="inlineStr">
        <is>
          <t>DTT</t>
        </is>
      </c>
      <c r="D299" s="31" t="n">
        <v>8101</v>
      </c>
      <c r="E299" s="31" t="n">
        <v>876</v>
      </c>
      <c r="F299" s="33" t="n">
        <v>539.4246575342465</v>
      </c>
      <c r="G299" s="33" t="n">
        <v>1478.392879291124</v>
      </c>
      <c r="H299" s="33" t="n">
        <v>3553.701769406392</v>
      </c>
      <c r="I299" s="33" t="n">
        <v>779.25</v>
      </c>
      <c r="J299" s="33" t="n">
        <v>3.174657534246576</v>
      </c>
      <c r="K299" s="33" t="n">
        <v>236.9867724867725</v>
      </c>
      <c r="L299" s="33" t="n">
        <v>578.6863631529501</v>
      </c>
      <c r="M299" s="33" t="n">
        <v>1513815.60753084</v>
      </c>
      <c r="N299" s="33" t="n">
        <v>304625</v>
      </c>
      <c r="O299" s="34" t="n">
        <v>0.4292521058453161</v>
      </c>
      <c r="P299" s="34" t="n">
        <v>0.3107334804868811</v>
      </c>
      <c r="Q299" s="34" t="n">
        <v>0.0841064247092459</v>
      </c>
      <c r="R299" s="31" t="n">
        <v>1680</v>
      </c>
      <c r="S299" s="31" t="n">
        <v>200</v>
      </c>
      <c r="T299" s="31" t="inlineStr">
        <is>
          <t>None</t>
        </is>
      </c>
      <c r="U299" s="31" t="inlineStr">
        <is>
          <t>Balanced</t>
        </is>
      </c>
      <c r="V299" s="31" t="inlineStr">
        <is>
          <t>NEW DEVELOPMENT RESULT</t>
        </is>
      </c>
      <c r="W299" s="31" t="n">
        <v>0.0008664292105235</v>
      </c>
    </row>
    <row r="300" ht="24" customHeight="1">
      <c r="A300" s="31" t="inlineStr">
        <is>
          <t>D017__DTT__8102</t>
        </is>
      </c>
      <c r="B300" s="31" t="inlineStr">
        <is>
          <t>D017</t>
        </is>
      </c>
      <c r="C300" s="31" t="inlineStr">
        <is>
          <t>DTT</t>
        </is>
      </c>
      <c r="D300" s="31" t="n">
        <v>8102</v>
      </c>
      <c r="E300" s="31" t="n">
        <v>906</v>
      </c>
      <c r="F300" s="33" t="n">
        <v>587.4547461368653</v>
      </c>
      <c r="G300" s="33" t="n">
        <v>1592.670526558367</v>
      </c>
      <c r="H300" s="33" t="n">
        <v>3568.553410596026</v>
      </c>
      <c r="I300" s="33" t="n">
        <v>842.75</v>
      </c>
      <c r="J300" s="33" t="n">
        <v>10.81456953642384</v>
      </c>
      <c r="K300" s="33" t="n">
        <v>238.7777777777778</v>
      </c>
      <c r="L300" s="33" t="n">
        <v>583.9838383188488</v>
      </c>
      <c r="M300" s="33" t="n">
        <v>1668961.242491275</v>
      </c>
      <c r="N300" s="33" t="n">
        <v>318220</v>
      </c>
      <c r="O300" s="34" t="n">
        <v>0.5002034008624197</v>
      </c>
      <c r="P300" s="34" t="n">
        <v>0.3020345737441199</v>
      </c>
      <c r="Q300" s="34" t="n">
        <v>0.0827554485977222</v>
      </c>
      <c r="R300" s="31" t="n">
        <v>1680</v>
      </c>
      <c r="S300" s="31" t="n">
        <v>200</v>
      </c>
      <c r="T300" s="31" t="inlineStr">
        <is>
          <t>None</t>
        </is>
      </c>
      <c r="U300" s="31" t="inlineStr">
        <is>
          <t>Balanced</t>
        </is>
      </c>
      <c r="V300" s="31" t="inlineStr">
        <is>
          <t>NEW DEVELOPMENT RESULT</t>
        </is>
      </c>
      <c r="W300" s="31" t="n">
        <v>0.0008586529005377</v>
      </c>
    </row>
    <row r="301" ht="24" customHeight="1">
      <c r="A301" s="31" t="inlineStr">
        <is>
          <t>D017__DTT__8103</t>
        </is>
      </c>
      <c r="B301" s="31" t="inlineStr">
        <is>
          <t>D017</t>
        </is>
      </c>
      <c r="C301" s="31" t="inlineStr">
        <is>
          <t>DTT</t>
        </is>
      </c>
      <c r="D301" s="31" t="n">
        <v>8103</v>
      </c>
      <c r="E301" s="31" t="n">
        <v>862</v>
      </c>
      <c r="F301" s="33" t="n">
        <v>525.4408352668213</v>
      </c>
      <c r="G301" s="33" t="n">
        <v>1436.82532014266</v>
      </c>
      <c r="H301" s="33" t="n">
        <v>3581.645707656613</v>
      </c>
      <c r="I301" s="33" t="n">
        <v>795.9499999999999</v>
      </c>
      <c r="J301" s="33" t="n">
        <v>1.836426914153132</v>
      </c>
      <c r="K301" s="33" t="n">
        <v>237.0275689223058</v>
      </c>
      <c r="L301" s="33" t="n">
        <v>579.2319598187086</v>
      </c>
      <c r="M301" s="33" t="n">
        <v>1469656.977930638</v>
      </c>
      <c r="N301" s="33" t="n">
        <v>279153</v>
      </c>
      <c r="O301" s="34" t="n">
        <v>0.4354866200784046</v>
      </c>
      <c r="P301" s="34" t="n">
        <v>0.3175839141547772</v>
      </c>
      <c r="Q301" s="34" t="n">
        <v>0.0783375437272513</v>
      </c>
      <c r="R301" s="31" t="n">
        <v>1680</v>
      </c>
      <c r="S301" s="31" t="n">
        <v>200</v>
      </c>
      <c r="T301" s="31" t="inlineStr">
        <is>
          <t>None</t>
        </is>
      </c>
      <c r="U301" s="31" t="inlineStr">
        <is>
          <t>Balanced</t>
        </is>
      </c>
      <c r="V301" s="31" t="inlineStr">
        <is>
          <t>NEW DEVELOPMENT RESULT</t>
        </is>
      </c>
      <c r="W301" s="31" t="n">
        <v>0.0009033460006852</v>
      </c>
    </row>
    <row r="302" ht="24" customHeight="1">
      <c r="A302" s="31" t="inlineStr">
        <is>
          <t>D017__ECO__8101</t>
        </is>
      </c>
      <c r="B302" s="31" t="inlineStr">
        <is>
          <t>D017</t>
        </is>
      </c>
      <c r="C302" s="31" t="inlineStr">
        <is>
          <t>ECO</t>
        </is>
      </c>
      <c r="D302" s="31" t="n">
        <v>8101</v>
      </c>
      <c r="E302" s="31" t="n">
        <v>876</v>
      </c>
      <c r="F302" s="33" t="n">
        <v>1409.590182648402</v>
      </c>
      <c r="G302" s="33" t="n">
        <v>2155.494588134603</v>
      </c>
      <c r="H302" s="33" t="n">
        <v>3203.720000000001</v>
      </c>
      <c r="I302" s="33" t="n">
        <v>2003.5</v>
      </c>
      <c r="J302" s="33" t="n">
        <v>684.5856164383562</v>
      </c>
      <c r="K302" s="33" t="n">
        <v>236.9867724867725</v>
      </c>
      <c r="L302" s="33" t="n">
        <v>578.6863631529501</v>
      </c>
      <c r="M302" s="33" t="n">
        <v>2106956.704477726</v>
      </c>
      <c r="N302" s="33" t="n">
        <v>481832</v>
      </c>
      <c r="O302" s="34" t="n">
        <v>0</v>
      </c>
      <c r="P302" s="34" t="n">
        <v>0.0145060347342963</v>
      </c>
      <c r="Q302" s="34" t="n">
        <v>0.0017784039108109</v>
      </c>
      <c r="R302" s="31" t="n">
        <v>1680</v>
      </c>
      <c r="S302" s="31" t="n">
        <v>200</v>
      </c>
      <c r="T302" s="31" t="inlineStr">
        <is>
          <t>None</t>
        </is>
      </c>
      <c r="U302" s="31" t="inlineStr">
        <is>
          <t>Balanced</t>
        </is>
      </c>
      <c r="V302" s="31" t="inlineStr">
        <is>
          <t>NEW DEVELOPMENT RESULT</t>
        </is>
      </c>
      <c r="W302" s="31" t="n">
        <v>0.0006897155304282999</v>
      </c>
    </row>
    <row r="303" ht="24" customHeight="1">
      <c r="A303" s="31" t="inlineStr">
        <is>
          <t>D017__ECO__8102</t>
        </is>
      </c>
      <c r="B303" s="31" t="inlineStr">
        <is>
          <t>D017</t>
        </is>
      </c>
      <c r="C303" s="31" t="inlineStr">
        <is>
          <t>ECO</t>
        </is>
      </c>
      <c r="D303" s="31" t="n">
        <v>8102</v>
      </c>
      <c r="E303" s="31" t="n">
        <v>906</v>
      </c>
      <c r="F303" s="33" t="n">
        <v>1386.082781456954</v>
      </c>
      <c r="G303" s="33" t="n">
        <v>2153.771022081836</v>
      </c>
      <c r="H303" s="33" t="n">
        <v>3203.72</v>
      </c>
      <c r="I303" s="33" t="n">
        <v>2027</v>
      </c>
      <c r="J303" s="33" t="n">
        <v>661.8520971302428</v>
      </c>
      <c r="K303" s="33" t="n">
        <v>238.7777777777778</v>
      </c>
      <c r="L303" s="33" t="n">
        <v>583.9838383188488</v>
      </c>
      <c r="M303" s="33" t="n">
        <v>2177318.291435537</v>
      </c>
      <c r="N303" s="33" t="n">
        <v>474374</v>
      </c>
      <c r="O303" s="34" t="n">
        <v>0</v>
      </c>
      <c r="P303" s="34" t="n">
        <v>0.0225603535823422</v>
      </c>
      <c r="Q303" s="34" t="n">
        <v>-0.0072890209881627</v>
      </c>
      <c r="R303" s="31" t="n">
        <v>1680</v>
      </c>
      <c r="S303" s="31" t="n">
        <v>200</v>
      </c>
      <c r="T303" s="31" t="inlineStr">
        <is>
          <t>None</t>
        </is>
      </c>
      <c r="U303" s="31" t="inlineStr">
        <is>
          <t>Balanced</t>
        </is>
      </c>
      <c r="V303" s="31" t="inlineStr">
        <is>
          <t>NEW DEVELOPMENT RESULT</t>
        </is>
      </c>
      <c r="W303" s="31" t="n">
        <v>0.0007034392265704</v>
      </c>
    </row>
    <row r="304" ht="24" customHeight="1">
      <c r="A304" s="31" t="inlineStr">
        <is>
          <t>D017__ECO__8103</t>
        </is>
      </c>
      <c r="B304" s="31" t="inlineStr">
        <is>
          <t>D017</t>
        </is>
      </c>
      <c r="C304" s="31" t="inlineStr">
        <is>
          <t>ECO</t>
        </is>
      </c>
      <c r="D304" s="31" t="n">
        <v>8103</v>
      </c>
      <c r="E304" s="31" t="n">
        <v>862</v>
      </c>
      <c r="F304" s="33" t="n">
        <v>1318.317865429234</v>
      </c>
      <c r="G304" s="33" t="n">
        <v>2155.62009480528</v>
      </c>
      <c r="H304" s="33" t="n">
        <v>3203.720000000001</v>
      </c>
      <c r="I304" s="33" t="n">
        <v>1931</v>
      </c>
      <c r="J304" s="33" t="n">
        <v>593.4106728538283</v>
      </c>
      <c r="K304" s="33" t="n">
        <v>237.0275689223058</v>
      </c>
      <c r="L304" s="33" t="n">
        <v>579.2319598187086</v>
      </c>
      <c r="M304" s="33" t="n">
        <v>2089258.073689816</v>
      </c>
      <c r="N304" s="33" t="n">
        <v>466746</v>
      </c>
      <c r="O304" s="34" t="n">
        <v>0</v>
      </c>
      <c r="P304" s="34" t="n">
        <v>0.0155482916094154</v>
      </c>
      <c r="Q304" s="34" t="n">
        <v>0.0003530684847753</v>
      </c>
      <c r="R304" s="31" t="n">
        <v>1680</v>
      </c>
      <c r="S304" s="31" t="n">
        <v>200</v>
      </c>
      <c r="T304" s="31" t="inlineStr">
        <is>
          <t>None</t>
        </is>
      </c>
      <c r="U304" s="31" t="inlineStr">
        <is>
          <t>Balanced</t>
        </is>
      </c>
      <c r="V304" s="31" t="inlineStr">
        <is>
          <t>NEW DEVELOPMENT RESULT</t>
        </is>
      </c>
      <c r="W304" s="31" t="n">
        <v>0.0007038621077499</v>
      </c>
    </row>
    <row r="305" ht="24" customHeight="1">
      <c r="A305" s="31" t="inlineStr">
        <is>
          <t>D017__TECO05__8101</t>
        </is>
      </c>
      <c r="B305" s="31" t="inlineStr">
        <is>
          <t>D017</t>
        </is>
      </c>
      <c r="C305" s="31" t="inlineStr">
        <is>
          <t>TECO05</t>
        </is>
      </c>
      <c r="D305" s="31" t="n">
        <v>8101</v>
      </c>
      <c r="E305" s="31" t="n">
        <v>876</v>
      </c>
      <c r="F305" s="33" t="n">
        <v>814.6723744292237</v>
      </c>
      <c r="G305" s="33" t="n">
        <v>1912.571488074314</v>
      </c>
      <c r="H305" s="33" t="n">
        <v>3370.59694063927</v>
      </c>
      <c r="I305" s="33" t="n">
        <v>1214.25</v>
      </c>
      <c r="J305" s="33" t="n">
        <v>158.6358447488585</v>
      </c>
      <c r="K305" s="33" t="n">
        <v>236.9867724867725</v>
      </c>
      <c r="L305" s="33" t="n">
        <v>578.6863631529501</v>
      </c>
      <c r="M305" s="33" t="n">
        <v>1894156.068824914</v>
      </c>
      <c r="N305" s="33" t="n">
        <v>418488</v>
      </c>
      <c r="O305" s="34" t="n">
        <v>0.2658024224072672</v>
      </c>
      <c r="P305" s="34" t="n">
        <v>0.1425662731771739</v>
      </c>
      <c r="Q305" s="34" t="n">
        <v>0.06316461169659961</v>
      </c>
      <c r="R305" s="31" t="n">
        <v>1680</v>
      </c>
      <c r="S305" s="31" t="n">
        <v>200</v>
      </c>
      <c r="T305" s="31" t="inlineStr">
        <is>
          <t>None</t>
        </is>
      </c>
      <c r="U305" s="31" t="inlineStr">
        <is>
          <t>Balanced</t>
        </is>
      </c>
      <c r="V305" s="31" t="inlineStr">
        <is>
          <t>NEW DEVELOPMENT RESULT</t>
        </is>
      </c>
      <c r="W305" s="31" t="n">
        <v>0.0007274839275363</v>
      </c>
    </row>
    <row r="306" ht="24" customHeight="1">
      <c r="A306" s="31" t="inlineStr">
        <is>
          <t>D017__TECO05__8102</t>
        </is>
      </c>
      <c r="B306" s="31" t="inlineStr">
        <is>
          <t>D017</t>
        </is>
      </c>
      <c r="C306" s="31" t="inlineStr">
        <is>
          <t>TECO05</t>
        </is>
      </c>
      <c r="D306" s="31" t="n">
        <v>8102</v>
      </c>
      <c r="E306" s="31" t="n">
        <v>906</v>
      </c>
      <c r="F306" s="33" t="n">
        <v>767.5927152317881</v>
      </c>
      <c r="G306" s="33" t="n">
        <v>1882.104033159112</v>
      </c>
      <c r="H306" s="33" t="n">
        <v>3378.92110375276</v>
      </c>
      <c r="I306" s="33" t="n">
        <v>1149</v>
      </c>
      <c r="J306" s="33" t="n">
        <v>122.4370860927152</v>
      </c>
      <c r="K306" s="33" t="n">
        <v>238.7777777777778</v>
      </c>
      <c r="L306" s="33" t="n">
        <v>583.9838383188488</v>
      </c>
      <c r="M306" s="33" t="n">
        <v>1931187.99947155</v>
      </c>
      <c r="N306" s="33" t="n">
        <v>400484</v>
      </c>
      <c r="O306" s="34" t="n">
        <v>0.2744580069229367</v>
      </c>
      <c r="P306" s="34" t="n">
        <v>0.1310610895406796</v>
      </c>
      <c r="Q306" s="34" t="n">
        <v>0.0438730716469454</v>
      </c>
      <c r="R306" s="31" t="n">
        <v>1680</v>
      </c>
      <c r="S306" s="31" t="n">
        <v>200</v>
      </c>
      <c r="T306" s="31" t="inlineStr">
        <is>
          <t>None</t>
        </is>
      </c>
      <c r="U306" s="31" t="inlineStr">
        <is>
          <t>Balanced</t>
        </is>
      </c>
      <c r="V306" s="31" t="inlineStr">
        <is>
          <t>NEW DEVELOPMENT RESULT</t>
        </is>
      </c>
      <c r="W306" s="31" t="n">
        <v>0.0007524067217865999</v>
      </c>
    </row>
    <row r="307" ht="24" customHeight="1">
      <c r="A307" s="31" t="inlineStr">
        <is>
          <t>D017__TECO05__8103</t>
        </is>
      </c>
      <c r="B307" s="31" t="inlineStr">
        <is>
          <t>D017</t>
        </is>
      </c>
      <c r="C307" s="31" t="inlineStr">
        <is>
          <t>TECO05</t>
        </is>
      </c>
      <c r="D307" s="31" t="n">
        <v>8103</v>
      </c>
      <c r="E307" s="31" t="n">
        <v>862</v>
      </c>
      <c r="F307" s="33" t="n">
        <v>749.0649651972158</v>
      </c>
      <c r="G307" s="33" t="n">
        <v>1878.814831280993</v>
      </c>
      <c r="H307" s="33" t="n">
        <v>3363.117447795824</v>
      </c>
      <c r="I307" s="33" t="n">
        <v>1167</v>
      </c>
      <c r="J307" s="33" t="n">
        <v>106.8596287703016</v>
      </c>
      <c r="K307" s="33" t="n">
        <v>237.0275689223058</v>
      </c>
      <c r="L307" s="33" t="n">
        <v>579.2319598187086</v>
      </c>
      <c r="M307" s="33" t="n">
        <v>1850651.936531881</v>
      </c>
      <c r="N307" s="33" t="n">
        <v>395878</v>
      </c>
      <c r="O307" s="34" t="n">
        <v>0.2543927399111798</v>
      </c>
      <c r="P307" s="34" t="n">
        <v>0.1405849919508699</v>
      </c>
      <c r="Q307" s="34" t="n">
        <v>0.0551433408110029</v>
      </c>
      <c r="R307" s="31" t="n">
        <v>1680</v>
      </c>
      <c r="S307" s="31" t="n">
        <v>200</v>
      </c>
      <c r="T307" s="31" t="inlineStr">
        <is>
          <t>None</t>
        </is>
      </c>
      <c r="U307" s="31" t="inlineStr">
        <is>
          <t>Balanced</t>
        </is>
      </c>
      <c r="V307" s="31" t="inlineStr">
        <is>
          <t>NEW DEVELOPMENT RESULT</t>
        </is>
      </c>
      <c r="W307" s="31" t="n">
        <v>0.0007545431959531</v>
      </c>
    </row>
    <row r="308" ht="24" customHeight="1">
      <c r="A308" s="31" t="inlineStr">
        <is>
          <t>D017__TECO10__8101</t>
        </is>
      </c>
      <c r="B308" s="31" t="inlineStr">
        <is>
          <t>D017</t>
        </is>
      </c>
      <c r="C308" s="31" t="inlineStr">
        <is>
          <t>TECO10</t>
        </is>
      </c>
      <c r="D308" s="31" t="n">
        <v>8101</v>
      </c>
      <c r="E308" s="31" t="n">
        <v>876</v>
      </c>
      <c r="F308" s="33" t="n">
        <v>1409.590182648402</v>
      </c>
      <c r="G308" s="33" t="n">
        <v>2155.494588134603</v>
      </c>
      <c r="H308" s="33" t="n">
        <v>3203.720000000001</v>
      </c>
      <c r="I308" s="33" t="n">
        <v>2003.5</v>
      </c>
      <c r="J308" s="33" t="n">
        <v>684.5856164383562</v>
      </c>
      <c r="K308" s="33" t="n">
        <v>236.9867724867725</v>
      </c>
      <c r="L308" s="33" t="n">
        <v>578.6863631529501</v>
      </c>
      <c r="M308" s="33" t="n">
        <v>2106956.704477726</v>
      </c>
      <c r="N308" s="33" t="n">
        <v>481832</v>
      </c>
      <c r="O308" s="34" t="n">
        <v>0</v>
      </c>
      <c r="P308" s="34" t="n">
        <v>0.0145060347342963</v>
      </c>
      <c r="Q308" s="34" t="n">
        <v>0.0017784039108109</v>
      </c>
      <c r="R308" s="31" t="n">
        <v>1680</v>
      </c>
      <c r="S308" s="31" t="n">
        <v>200</v>
      </c>
      <c r="T308" s="31" t="inlineStr">
        <is>
          <t>None</t>
        </is>
      </c>
      <c r="U308" s="31" t="inlineStr">
        <is>
          <t>Balanced</t>
        </is>
      </c>
      <c r="V308" s="31" t="inlineStr">
        <is>
          <t>NEW DEVELOPMENT RESULT</t>
        </is>
      </c>
      <c r="W308" s="31" t="n">
        <v>0.0006897155304282999</v>
      </c>
    </row>
    <row r="309" ht="24" customHeight="1">
      <c r="A309" s="31" t="inlineStr">
        <is>
          <t>D017__TECO10__8102</t>
        </is>
      </c>
      <c r="B309" s="31" t="inlineStr">
        <is>
          <t>D017</t>
        </is>
      </c>
      <c r="C309" s="31" t="inlineStr">
        <is>
          <t>TECO10</t>
        </is>
      </c>
      <c r="D309" s="31" t="n">
        <v>8102</v>
      </c>
      <c r="E309" s="31" t="n">
        <v>906</v>
      </c>
      <c r="F309" s="33" t="n">
        <v>1386.082781456954</v>
      </c>
      <c r="G309" s="33" t="n">
        <v>2153.771022081836</v>
      </c>
      <c r="H309" s="33" t="n">
        <v>3203.72</v>
      </c>
      <c r="I309" s="33" t="n">
        <v>2027</v>
      </c>
      <c r="J309" s="33" t="n">
        <v>661.8520971302428</v>
      </c>
      <c r="K309" s="33" t="n">
        <v>238.7777777777778</v>
      </c>
      <c r="L309" s="33" t="n">
        <v>583.9838383188488</v>
      </c>
      <c r="M309" s="33" t="n">
        <v>2177318.291435537</v>
      </c>
      <c r="N309" s="33" t="n">
        <v>474374</v>
      </c>
      <c r="O309" s="34" t="n">
        <v>0</v>
      </c>
      <c r="P309" s="34" t="n">
        <v>0.0225603535823422</v>
      </c>
      <c r="Q309" s="34" t="n">
        <v>-0.0072890209881627</v>
      </c>
      <c r="R309" s="31" t="n">
        <v>1680</v>
      </c>
      <c r="S309" s="31" t="n">
        <v>200</v>
      </c>
      <c r="T309" s="31" t="inlineStr">
        <is>
          <t>None</t>
        </is>
      </c>
      <c r="U309" s="31" t="inlineStr">
        <is>
          <t>Balanced</t>
        </is>
      </c>
      <c r="V309" s="31" t="inlineStr">
        <is>
          <t>NEW DEVELOPMENT RESULT</t>
        </is>
      </c>
      <c r="W309" s="31" t="n">
        <v>0.0007034392265704</v>
      </c>
    </row>
    <row r="310" ht="24" customHeight="1">
      <c r="A310" s="31" t="inlineStr">
        <is>
          <t>D017__TECO10__8103</t>
        </is>
      </c>
      <c r="B310" s="31" t="inlineStr">
        <is>
          <t>D017</t>
        </is>
      </c>
      <c r="C310" s="31" t="inlineStr">
        <is>
          <t>TECO10</t>
        </is>
      </c>
      <c r="D310" s="31" t="n">
        <v>8103</v>
      </c>
      <c r="E310" s="31" t="n">
        <v>862</v>
      </c>
      <c r="F310" s="33" t="n">
        <v>1318.317865429234</v>
      </c>
      <c r="G310" s="33" t="n">
        <v>2155.62009480528</v>
      </c>
      <c r="H310" s="33" t="n">
        <v>3203.720000000001</v>
      </c>
      <c r="I310" s="33" t="n">
        <v>1931</v>
      </c>
      <c r="J310" s="33" t="n">
        <v>593.4106728538283</v>
      </c>
      <c r="K310" s="33" t="n">
        <v>237.0275689223058</v>
      </c>
      <c r="L310" s="33" t="n">
        <v>579.2319598187086</v>
      </c>
      <c r="M310" s="33" t="n">
        <v>2089258.073689816</v>
      </c>
      <c r="N310" s="33" t="n">
        <v>466746</v>
      </c>
      <c r="O310" s="34" t="n">
        <v>0</v>
      </c>
      <c r="P310" s="34" t="n">
        <v>0.0155482916094154</v>
      </c>
      <c r="Q310" s="34" t="n">
        <v>0.0003530684847753</v>
      </c>
      <c r="R310" s="31" t="n">
        <v>1680</v>
      </c>
      <c r="S310" s="31" t="n">
        <v>200</v>
      </c>
      <c r="T310" s="31" t="inlineStr">
        <is>
          <t>None</t>
        </is>
      </c>
      <c r="U310" s="31" t="inlineStr">
        <is>
          <t>Balanced</t>
        </is>
      </c>
      <c r="V310" s="31" t="inlineStr">
        <is>
          <t>NEW DEVELOPMENT RESULT</t>
        </is>
      </c>
      <c r="W310" s="31" t="n">
        <v>0.0007038621077499</v>
      </c>
    </row>
    <row r="311" ht="24" customHeight="1">
      <c r="A311" s="31" t="inlineStr">
        <is>
          <t>D017__TECO15__8101</t>
        </is>
      </c>
      <c r="B311" s="31" t="inlineStr">
        <is>
          <t>D017</t>
        </is>
      </c>
      <c r="C311" s="31" t="inlineStr">
        <is>
          <t>TECO15</t>
        </is>
      </c>
      <c r="D311" s="31" t="n">
        <v>8101</v>
      </c>
      <c r="E311" s="31" t="n">
        <v>876</v>
      </c>
      <c r="F311" s="33" t="n">
        <v>1409.590182648402</v>
      </c>
      <c r="G311" s="33" t="n">
        <v>2155.494588134603</v>
      </c>
      <c r="H311" s="33" t="n">
        <v>3203.720000000001</v>
      </c>
      <c r="I311" s="33" t="n">
        <v>2003.5</v>
      </c>
      <c r="J311" s="33" t="n">
        <v>684.5856164383562</v>
      </c>
      <c r="K311" s="33" t="n">
        <v>236.9867724867725</v>
      </c>
      <c r="L311" s="33" t="n">
        <v>578.6863631529501</v>
      </c>
      <c r="M311" s="33" t="n">
        <v>2106956.704477726</v>
      </c>
      <c r="N311" s="33" t="n">
        <v>481832</v>
      </c>
      <c r="O311" s="34" t="n">
        <v>0</v>
      </c>
      <c r="P311" s="34" t="n">
        <v>0.0145060347342963</v>
      </c>
      <c r="Q311" s="34" t="n">
        <v>0.0017784039108109</v>
      </c>
      <c r="R311" s="31" t="n">
        <v>1680</v>
      </c>
      <c r="S311" s="31" t="n">
        <v>200</v>
      </c>
      <c r="T311" s="31" t="inlineStr">
        <is>
          <t>None</t>
        </is>
      </c>
      <c r="U311" s="31" t="inlineStr">
        <is>
          <t>Balanced</t>
        </is>
      </c>
      <c r="V311" s="31" t="inlineStr">
        <is>
          <t>NEW DEVELOPMENT RESULT</t>
        </is>
      </c>
      <c r="W311" s="31" t="n">
        <v>0.0006897155304282999</v>
      </c>
    </row>
    <row r="312" ht="24" customHeight="1">
      <c r="A312" s="31" t="inlineStr">
        <is>
          <t>D017__TECO15__8102</t>
        </is>
      </c>
      <c r="B312" s="31" t="inlineStr">
        <is>
          <t>D017</t>
        </is>
      </c>
      <c r="C312" s="31" t="inlineStr">
        <is>
          <t>TECO15</t>
        </is>
      </c>
      <c r="D312" s="31" t="n">
        <v>8102</v>
      </c>
      <c r="E312" s="31" t="n">
        <v>906</v>
      </c>
      <c r="F312" s="33" t="n">
        <v>1386.082781456954</v>
      </c>
      <c r="G312" s="33" t="n">
        <v>2153.771022081836</v>
      </c>
      <c r="H312" s="33" t="n">
        <v>3203.72</v>
      </c>
      <c r="I312" s="33" t="n">
        <v>2027</v>
      </c>
      <c r="J312" s="33" t="n">
        <v>661.8520971302428</v>
      </c>
      <c r="K312" s="33" t="n">
        <v>238.7777777777778</v>
      </c>
      <c r="L312" s="33" t="n">
        <v>583.9838383188488</v>
      </c>
      <c r="M312" s="33" t="n">
        <v>2177318.291435537</v>
      </c>
      <c r="N312" s="33" t="n">
        <v>474374</v>
      </c>
      <c r="O312" s="34" t="n">
        <v>0</v>
      </c>
      <c r="P312" s="34" t="n">
        <v>0.0225603535823422</v>
      </c>
      <c r="Q312" s="34" t="n">
        <v>-0.0072890209881627</v>
      </c>
      <c r="R312" s="31" t="n">
        <v>1680</v>
      </c>
      <c r="S312" s="31" t="n">
        <v>200</v>
      </c>
      <c r="T312" s="31" t="inlineStr">
        <is>
          <t>None</t>
        </is>
      </c>
      <c r="U312" s="31" t="inlineStr">
        <is>
          <t>Balanced</t>
        </is>
      </c>
      <c r="V312" s="31" t="inlineStr">
        <is>
          <t>NEW DEVELOPMENT RESULT</t>
        </is>
      </c>
      <c r="W312" s="31" t="n">
        <v>0.0007034392265704</v>
      </c>
    </row>
    <row r="313" ht="24" customHeight="1">
      <c r="A313" s="31" t="inlineStr">
        <is>
          <t>D017__TECO15__8103</t>
        </is>
      </c>
      <c r="B313" s="31" t="inlineStr">
        <is>
          <t>D017</t>
        </is>
      </c>
      <c r="C313" s="31" t="inlineStr">
        <is>
          <t>TECO15</t>
        </is>
      </c>
      <c r="D313" s="31" t="n">
        <v>8103</v>
      </c>
      <c r="E313" s="31" t="n">
        <v>862</v>
      </c>
      <c r="F313" s="33" t="n">
        <v>1318.317865429234</v>
      </c>
      <c r="G313" s="33" t="n">
        <v>2155.62009480528</v>
      </c>
      <c r="H313" s="33" t="n">
        <v>3203.720000000001</v>
      </c>
      <c r="I313" s="33" t="n">
        <v>1931</v>
      </c>
      <c r="J313" s="33" t="n">
        <v>593.4106728538283</v>
      </c>
      <c r="K313" s="33" t="n">
        <v>237.0275689223058</v>
      </c>
      <c r="L313" s="33" t="n">
        <v>579.2319598187086</v>
      </c>
      <c r="M313" s="33" t="n">
        <v>2089258.073689816</v>
      </c>
      <c r="N313" s="33" t="n">
        <v>466746</v>
      </c>
      <c r="O313" s="34" t="n">
        <v>0</v>
      </c>
      <c r="P313" s="34" t="n">
        <v>0.0155482916094154</v>
      </c>
      <c r="Q313" s="34" t="n">
        <v>0.0003530684847753</v>
      </c>
      <c r="R313" s="31" t="n">
        <v>1680</v>
      </c>
      <c r="S313" s="31" t="n">
        <v>200</v>
      </c>
      <c r="T313" s="31" t="inlineStr">
        <is>
          <t>None</t>
        </is>
      </c>
      <c r="U313" s="31" t="inlineStr">
        <is>
          <t>Balanced</t>
        </is>
      </c>
      <c r="V313" s="31" t="inlineStr">
        <is>
          <t>NEW DEVELOPMENT RESULT</t>
        </is>
      </c>
      <c r="W313" s="31" t="n">
        <v>0.0007038621077499</v>
      </c>
    </row>
    <row r="314" ht="24" customHeight="1">
      <c r="A314" s="31" t="inlineStr">
        <is>
          <t>D018__SP__8101</t>
        </is>
      </c>
      <c r="B314" s="31" t="inlineStr">
        <is>
          <t>D018</t>
        </is>
      </c>
      <c r="C314" s="31" t="inlineStr">
        <is>
          <t>SP</t>
        </is>
      </c>
      <c r="D314" s="31" t="n">
        <v>8101</v>
      </c>
      <c r="E314" s="31" t="n">
        <v>876</v>
      </c>
      <c r="F314" s="33" t="n">
        <v>757.7134703196347</v>
      </c>
      <c r="G314" s="33" t="n">
        <v>1527.392622806555</v>
      </c>
      <c r="H314" s="33" t="n">
        <v>3203.720000000001</v>
      </c>
      <c r="I314" s="33" t="n">
        <v>1019.25</v>
      </c>
      <c r="J314" s="33" t="n">
        <v>212.2865296803653</v>
      </c>
      <c r="K314" s="33" t="n">
        <v>246.9867724867725</v>
      </c>
      <c r="L314" s="33" t="n">
        <v>607.6499770611385</v>
      </c>
      <c r="M314" s="33" t="n">
        <v>1567687.628907653</v>
      </c>
      <c r="N314" s="33" t="n">
        <v>260753</v>
      </c>
      <c r="O314" s="34" t="n">
        <v>0</v>
      </c>
      <c r="P314" s="34" t="n">
        <v>0.1255857730792043</v>
      </c>
      <c r="Q314" s="34" t="n">
        <v>-0.0014221670291199</v>
      </c>
      <c r="R314" s="31" t="n">
        <v>1680</v>
      </c>
      <c r="S314" s="31" t="n">
        <v>200</v>
      </c>
      <c r="T314" s="31" t="inlineStr">
        <is>
          <t>None</t>
        </is>
      </c>
      <c r="U314" s="31" t="inlineStr">
        <is>
          <t>Arterial</t>
        </is>
      </c>
      <c r="V314" s="31" t="inlineStr">
        <is>
          <t>NEW DEVELOPMENT RESULT</t>
        </is>
      </c>
      <c r="W314" s="31" t="n">
        <v>0.0009453111262857</v>
      </c>
    </row>
    <row r="315" ht="24" customHeight="1">
      <c r="A315" s="31" t="inlineStr">
        <is>
          <t>D018__SP__8102</t>
        </is>
      </c>
      <c r="B315" s="31" t="inlineStr">
        <is>
          <t>D018</t>
        </is>
      </c>
      <c r="C315" s="31" t="inlineStr">
        <is>
          <t>SP</t>
        </is>
      </c>
      <c r="D315" s="31" t="n">
        <v>8102</v>
      </c>
      <c r="E315" s="31" t="n">
        <v>906</v>
      </c>
      <c r="F315" s="33" t="n">
        <v>739.6578366445916</v>
      </c>
      <c r="G315" s="33" t="n">
        <v>1506.275796732586</v>
      </c>
      <c r="H315" s="33" t="n">
        <v>3203.72</v>
      </c>
      <c r="I315" s="33" t="n">
        <v>1041</v>
      </c>
      <c r="J315" s="33" t="n">
        <v>203.7969094922737</v>
      </c>
      <c r="K315" s="33" t="n">
        <v>249.0180878552972</v>
      </c>
      <c r="L315" s="33" t="n">
        <v>613.1871982528231</v>
      </c>
      <c r="M315" s="33" t="n">
        <v>1601989.317563566</v>
      </c>
      <c r="N315" s="33" t="n">
        <v>254540</v>
      </c>
      <c r="O315" s="34" t="n">
        <v>0</v>
      </c>
      <c r="P315" s="34" t="n">
        <v>0.1455060656459473</v>
      </c>
      <c r="Q315" s="34" t="n">
        <v>-0.0104847858164996</v>
      </c>
      <c r="R315" s="31" t="n">
        <v>1680</v>
      </c>
      <c r="S315" s="31" t="n">
        <v>200</v>
      </c>
      <c r="T315" s="31" t="inlineStr">
        <is>
          <t>None</t>
        </is>
      </c>
      <c r="U315" s="31" t="inlineStr">
        <is>
          <t>Arterial</t>
        </is>
      </c>
      <c r="V315" s="31" t="inlineStr">
        <is>
          <t>NEW DEVELOPMENT RESULT</t>
        </is>
      </c>
      <c r="W315" s="31" t="n">
        <v>0.0009738550873646</v>
      </c>
    </row>
    <row r="316" ht="24" customHeight="1">
      <c r="A316" s="31" t="inlineStr">
        <is>
          <t>D018__SP__8103</t>
        </is>
      </c>
      <c r="B316" s="31" t="inlineStr">
        <is>
          <t>D018</t>
        </is>
      </c>
      <c r="C316" s="31" t="inlineStr">
        <is>
          <t>SP</t>
        </is>
      </c>
      <c r="D316" s="31" t="n">
        <v>8103</v>
      </c>
      <c r="E316" s="31" t="n">
        <v>862</v>
      </c>
      <c r="F316" s="33" t="n">
        <v>663.677494199536</v>
      </c>
      <c r="G316" s="33" t="n">
        <v>1489.703214445407</v>
      </c>
      <c r="H316" s="33" t="n">
        <v>3203.720000000001</v>
      </c>
      <c r="I316" s="33" t="n">
        <v>953.95</v>
      </c>
      <c r="J316" s="33" t="n">
        <v>133.4338747099768</v>
      </c>
      <c r="K316" s="33" t="n">
        <v>247.0275689223058</v>
      </c>
      <c r="L316" s="33" t="n">
        <v>607.6764235974201</v>
      </c>
      <c r="M316" s="33" t="n">
        <v>1526587.063867311</v>
      </c>
      <c r="N316" s="33" t="n">
        <v>248772</v>
      </c>
      <c r="O316" s="34" t="n">
        <v>0</v>
      </c>
      <c r="P316" s="34" t="n">
        <v>0.1207637701239174</v>
      </c>
      <c r="Q316" s="34" t="n">
        <v>-0.001432813203482</v>
      </c>
      <c r="R316" s="31" t="n">
        <v>1680</v>
      </c>
      <c r="S316" s="31" t="n">
        <v>200</v>
      </c>
      <c r="T316" s="31" t="inlineStr">
        <is>
          <t>None</t>
        </is>
      </c>
      <c r="U316" s="31" t="inlineStr">
        <is>
          <t>Arterial</t>
        </is>
      </c>
      <c r="V316" s="31" t="inlineStr">
        <is>
          <t>NEW DEVELOPMENT RESULT</t>
        </is>
      </c>
      <c r="W316" s="31" t="n">
        <v>0.0009785446079015</v>
      </c>
    </row>
    <row r="317" ht="24" customHeight="1">
      <c r="A317" s="31" t="inlineStr">
        <is>
          <t>D018__DTT__8101</t>
        </is>
      </c>
      <c r="B317" s="31" t="inlineStr">
        <is>
          <t>D018</t>
        </is>
      </c>
      <c r="C317" s="31" t="inlineStr">
        <is>
          <t>DTT</t>
        </is>
      </c>
      <c r="D317" s="31" t="n">
        <v>8101</v>
      </c>
      <c r="E317" s="31" t="n">
        <v>876</v>
      </c>
      <c r="F317" s="33" t="n">
        <v>472.5285388127854</v>
      </c>
      <c r="G317" s="33" t="n">
        <v>1307.277044610797</v>
      </c>
      <c r="H317" s="33" t="n">
        <v>3398.566974885845</v>
      </c>
      <c r="I317" s="33" t="n">
        <v>905</v>
      </c>
      <c r="J317" s="33" t="n">
        <v>2.493150684931507</v>
      </c>
      <c r="K317" s="33" t="n">
        <v>246.9867724867725</v>
      </c>
      <c r="L317" s="33" t="n">
        <v>607.6499770611385</v>
      </c>
      <c r="M317" s="33" t="n">
        <v>1374866.382408169</v>
      </c>
      <c r="N317" s="33" t="n">
        <v>235208</v>
      </c>
      <c r="O317" s="34" t="n">
        <v>0.3148888682228215</v>
      </c>
      <c r="P317" s="34" t="n">
        <v>0.2061738910472414</v>
      </c>
      <c r="Q317" s="34" t="n">
        <v>-0.0307745233089655</v>
      </c>
      <c r="R317" s="31" t="n">
        <v>1680</v>
      </c>
      <c r="S317" s="31" t="n">
        <v>200</v>
      </c>
      <c r="T317" s="31" t="inlineStr">
        <is>
          <t>None</t>
        </is>
      </c>
      <c r="U317" s="31" t="inlineStr">
        <is>
          <t>Arterial</t>
        </is>
      </c>
      <c r="V317" s="31" t="inlineStr">
        <is>
          <t>NEW DEVELOPMENT RESULT</t>
        </is>
      </c>
      <c r="W317" s="31" t="n">
        <v>0.0010051831505438</v>
      </c>
    </row>
    <row r="318" ht="24" customHeight="1">
      <c r="A318" s="31" t="inlineStr">
        <is>
          <t>D018__DTT__8102</t>
        </is>
      </c>
      <c r="B318" s="31" t="inlineStr">
        <is>
          <t>D018</t>
        </is>
      </c>
      <c r="C318" s="31" t="inlineStr">
        <is>
          <t>DTT</t>
        </is>
      </c>
      <c r="D318" s="31" t="n">
        <v>8102</v>
      </c>
      <c r="E318" s="31" t="n">
        <v>906</v>
      </c>
      <c r="F318" s="33" t="n">
        <v>490.598233995585</v>
      </c>
      <c r="G318" s="33" t="n">
        <v>1341.548117237524</v>
      </c>
      <c r="H318" s="33" t="n">
        <v>3418.256578366446</v>
      </c>
      <c r="I318" s="33" t="n">
        <v>906.5</v>
      </c>
      <c r="J318" s="33" t="n">
        <v>4.420529801324503</v>
      </c>
      <c r="K318" s="33" t="n">
        <v>249.0180878552972</v>
      </c>
      <c r="L318" s="33" t="n">
        <v>613.1871982528231</v>
      </c>
      <c r="M318" s="33" t="n">
        <v>1452746.039941039</v>
      </c>
      <c r="N318" s="33" t="n">
        <v>234873</v>
      </c>
      <c r="O318" s="34" t="n">
        <v>0.353708303761533</v>
      </c>
      <c r="P318" s="34" t="n">
        <v>0.2232620667939683</v>
      </c>
      <c r="Q318" s="34" t="n">
        <v>-0.0584020334954787</v>
      </c>
      <c r="R318" s="31" t="n">
        <v>1680</v>
      </c>
      <c r="S318" s="31" t="n">
        <v>200</v>
      </c>
      <c r="T318" s="31" t="inlineStr">
        <is>
          <t>None</t>
        </is>
      </c>
      <c r="U318" s="31" t="inlineStr">
        <is>
          <t>Arterial</t>
        </is>
      </c>
      <c r="V318" s="31" t="inlineStr">
        <is>
          <t>NEW DEVELOPMENT RESULT</t>
        </is>
      </c>
      <c r="W318" s="31" t="n">
        <v>0.0010149977671125</v>
      </c>
    </row>
    <row r="319" ht="24" customHeight="1">
      <c r="A319" s="31" t="inlineStr">
        <is>
          <t>D018__DTT__8103</t>
        </is>
      </c>
      <c r="B319" s="31" t="inlineStr">
        <is>
          <t>D018</t>
        </is>
      </c>
      <c r="C319" s="31" t="inlineStr">
        <is>
          <t>DTT</t>
        </is>
      </c>
      <c r="D319" s="31" t="n">
        <v>8103</v>
      </c>
      <c r="E319" s="31" t="n">
        <v>862</v>
      </c>
      <c r="F319" s="33" t="n">
        <v>435.6461716937355</v>
      </c>
      <c r="G319" s="33" t="n">
        <v>1186.057896595728</v>
      </c>
      <c r="H319" s="33" t="n">
        <v>3413.729686774942</v>
      </c>
      <c r="I319" s="33" t="n">
        <v>810.8499999999998</v>
      </c>
      <c r="J319" s="33" t="n">
        <v>1.801624129930394</v>
      </c>
      <c r="K319" s="33" t="n">
        <v>247.0275689223058</v>
      </c>
      <c r="L319" s="33" t="n">
        <v>607.6764235974201</v>
      </c>
      <c r="M319" s="33" t="n">
        <v>1264844.799880888</v>
      </c>
      <c r="N319" s="33" t="n">
        <v>197937</v>
      </c>
      <c r="O319" s="34" t="n">
        <v>0.3364765194659695</v>
      </c>
      <c r="P319" s="34" t="n">
        <v>0.199063314615725</v>
      </c>
      <c r="Q319" s="34" t="n">
        <v>-0.0251094602853608</v>
      </c>
      <c r="R319" s="31" t="n">
        <v>1680</v>
      </c>
      <c r="S319" s="31" t="n">
        <v>200</v>
      </c>
      <c r="T319" s="31" t="inlineStr">
        <is>
          <t>None</t>
        </is>
      </c>
      <c r="U319" s="31" t="inlineStr">
        <is>
          <t>Arterial</t>
        </is>
      </c>
      <c r="V319" s="31" t="inlineStr">
        <is>
          <t>NEW DEVELOPMENT RESULT</t>
        </is>
      </c>
      <c r="W319" s="31" t="n">
        <v>0.0010980976956037</v>
      </c>
    </row>
    <row r="320" ht="24" customHeight="1">
      <c r="A320" s="31" t="inlineStr">
        <is>
          <t>D018__ECO__8101</t>
        </is>
      </c>
      <c r="B320" s="31" t="inlineStr">
        <is>
          <t>D018</t>
        </is>
      </c>
      <c r="C320" s="31" t="inlineStr">
        <is>
          <t>ECO</t>
        </is>
      </c>
      <c r="D320" s="31" t="n">
        <v>8101</v>
      </c>
      <c r="E320" s="31" t="n">
        <v>876</v>
      </c>
      <c r="F320" s="33" t="n">
        <v>757.7134703196347</v>
      </c>
      <c r="G320" s="33" t="n">
        <v>1527.392622806555</v>
      </c>
      <c r="H320" s="33" t="n">
        <v>3203.720000000001</v>
      </c>
      <c r="I320" s="33" t="n">
        <v>1019.25</v>
      </c>
      <c r="J320" s="33" t="n">
        <v>212.2865296803653</v>
      </c>
      <c r="K320" s="33" t="n">
        <v>246.9867724867725</v>
      </c>
      <c r="L320" s="33" t="n">
        <v>607.6499770611385</v>
      </c>
      <c r="M320" s="33" t="n">
        <v>1567687.628907653</v>
      </c>
      <c r="N320" s="33" t="n">
        <v>260753</v>
      </c>
      <c r="O320" s="34" t="n">
        <v>0</v>
      </c>
      <c r="P320" s="34" t="n">
        <v>0.1255857730792043</v>
      </c>
      <c r="Q320" s="34" t="n">
        <v>-0.0014221670291199</v>
      </c>
      <c r="R320" s="31" t="n">
        <v>1680</v>
      </c>
      <c r="S320" s="31" t="n">
        <v>200</v>
      </c>
      <c r="T320" s="31" t="inlineStr">
        <is>
          <t>None</t>
        </is>
      </c>
      <c r="U320" s="31" t="inlineStr">
        <is>
          <t>Arterial</t>
        </is>
      </c>
      <c r="V320" s="31" t="inlineStr">
        <is>
          <t>NEW DEVELOPMENT RESULT</t>
        </is>
      </c>
      <c r="W320" s="31" t="n">
        <v>0.0009453111262857</v>
      </c>
    </row>
    <row r="321" ht="24" customHeight="1">
      <c r="A321" s="31" t="inlineStr">
        <is>
          <t>D018__ECO__8102</t>
        </is>
      </c>
      <c r="B321" s="31" t="inlineStr">
        <is>
          <t>D018</t>
        </is>
      </c>
      <c r="C321" s="31" t="inlineStr">
        <is>
          <t>ECO</t>
        </is>
      </c>
      <c r="D321" s="31" t="n">
        <v>8102</v>
      </c>
      <c r="E321" s="31" t="n">
        <v>906</v>
      </c>
      <c r="F321" s="33" t="n">
        <v>739.6578366445916</v>
      </c>
      <c r="G321" s="33" t="n">
        <v>1506.275796732586</v>
      </c>
      <c r="H321" s="33" t="n">
        <v>3203.72</v>
      </c>
      <c r="I321" s="33" t="n">
        <v>1041</v>
      </c>
      <c r="J321" s="33" t="n">
        <v>203.7969094922737</v>
      </c>
      <c r="K321" s="33" t="n">
        <v>249.0180878552972</v>
      </c>
      <c r="L321" s="33" t="n">
        <v>613.1871982528231</v>
      </c>
      <c r="M321" s="33" t="n">
        <v>1601989.317563566</v>
      </c>
      <c r="N321" s="33" t="n">
        <v>254540</v>
      </c>
      <c r="O321" s="34" t="n">
        <v>0</v>
      </c>
      <c r="P321" s="34" t="n">
        <v>0.1455060656459473</v>
      </c>
      <c r="Q321" s="34" t="n">
        <v>-0.0104847858164996</v>
      </c>
      <c r="R321" s="31" t="n">
        <v>1680</v>
      </c>
      <c r="S321" s="31" t="n">
        <v>200</v>
      </c>
      <c r="T321" s="31" t="inlineStr">
        <is>
          <t>None</t>
        </is>
      </c>
      <c r="U321" s="31" t="inlineStr">
        <is>
          <t>Arterial</t>
        </is>
      </c>
      <c r="V321" s="31" t="inlineStr">
        <is>
          <t>NEW DEVELOPMENT RESULT</t>
        </is>
      </c>
      <c r="W321" s="31" t="n">
        <v>0.0009738550873646</v>
      </c>
    </row>
    <row r="322" ht="24" customHeight="1">
      <c r="A322" s="31" t="inlineStr">
        <is>
          <t>D018__ECO__8103</t>
        </is>
      </c>
      <c r="B322" s="31" t="inlineStr">
        <is>
          <t>D018</t>
        </is>
      </c>
      <c r="C322" s="31" t="inlineStr">
        <is>
          <t>ECO</t>
        </is>
      </c>
      <c r="D322" s="31" t="n">
        <v>8103</v>
      </c>
      <c r="E322" s="31" t="n">
        <v>862</v>
      </c>
      <c r="F322" s="33" t="n">
        <v>663.677494199536</v>
      </c>
      <c r="G322" s="33" t="n">
        <v>1489.703214445407</v>
      </c>
      <c r="H322" s="33" t="n">
        <v>3203.720000000001</v>
      </c>
      <c r="I322" s="33" t="n">
        <v>953.95</v>
      </c>
      <c r="J322" s="33" t="n">
        <v>133.4338747099768</v>
      </c>
      <c r="K322" s="33" t="n">
        <v>247.0275689223058</v>
      </c>
      <c r="L322" s="33" t="n">
        <v>607.6764235974201</v>
      </c>
      <c r="M322" s="33" t="n">
        <v>1526587.063867311</v>
      </c>
      <c r="N322" s="33" t="n">
        <v>248772</v>
      </c>
      <c r="O322" s="34" t="n">
        <v>0</v>
      </c>
      <c r="P322" s="34" t="n">
        <v>0.1207637701239174</v>
      </c>
      <c r="Q322" s="34" t="n">
        <v>-0.001432813203482</v>
      </c>
      <c r="R322" s="31" t="n">
        <v>1680</v>
      </c>
      <c r="S322" s="31" t="n">
        <v>200</v>
      </c>
      <c r="T322" s="31" t="inlineStr">
        <is>
          <t>None</t>
        </is>
      </c>
      <c r="U322" s="31" t="inlineStr">
        <is>
          <t>Arterial</t>
        </is>
      </c>
      <c r="V322" s="31" t="inlineStr">
        <is>
          <t>NEW DEVELOPMENT RESULT</t>
        </is>
      </c>
      <c r="W322" s="31" t="n">
        <v>0.0009785446079015</v>
      </c>
    </row>
    <row r="323" ht="24" customHeight="1">
      <c r="A323" s="31" t="inlineStr">
        <is>
          <t>D018__TECO05__8101</t>
        </is>
      </c>
      <c r="B323" s="31" t="inlineStr">
        <is>
          <t>D018</t>
        </is>
      </c>
      <c r="C323" s="31" t="inlineStr">
        <is>
          <t>TECO05</t>
        </is>
      </c>
      <c r="D323" s="31" t="n">
        <v>8101</v>
      </c>
      <c r="E323" s="31" t="n">
        <v>876</v>
      </c>
      <c r="F323" s="33" t="n">
        <v>757.7134703196347</v>
      </c>
      <c r="G323" s="33" t="n">
        <v>1527.392622806555</v>
      </c>
      <c r="H323" s="33" t="n">
        <v>3203.720000000001</v>
      </c>
      <c r="I323" s="33" t="n">
        <v>1019.25</v>
      </c>
      <c r="J323" s="33" t="n">
        <v>212.2865296803653</v>
      </c>
      <c r="K323" s="33" t="n">
        <v>246.9867724867725</v>
      </c>
      <c r="L323" s="33" t="n">
        <v>607.6499770611385</v>
      </c>
      <c r="M323" s="33" t="n">
        <v>1567687.628907653</v>
      </c>
      <c r="N323" s="33" t="n">
        <v>260753</v>
      </c>
      <c r="O323" s="34" t="n">
        <v>0</v>
      </c>
      <c r="P323" s="34" t="n">
        <v>0.1255857730792043</v>
      </c>
      <c r="Q323" s="34" t="n">
        <v>-0.0014221670291199</v>
      </c>
      <c r="R323" s="31" t="n">
        <v>1680</v>
      </c>
      <c r="S323" s="31" t="n">
        <v>200</v>
      </c>
      <c r="T323" s="31" t="inlineStr">
        <is>
          <t>None</t>
        </is>
      </c>
      <c r="U323" s="31" t="inlineStr">
        <is>
          <t>Arterial</t>
        </is>
      </c>
      <c r="V323" s="31" t="inlineStr">
        <is>
          <t>NEW DEVELOPMENT RESULT</t>
        </is>
      </c>
      <c r="W323" s="31" t="n">
        <v>0.0009453111262857</v>
      </c>
    </row>
    <row r="324" ht="24" customHeight="1">
      <c r="A324" s="31" t="inlineStr">
        <is>
          <t>D018__TECO05__8102</t>
        </is>
      </c>
      <c r="B324" s="31" t="inlineStr">
        <is>
          <t>D018</t>
        </is>
      </c>
      <c r="C324" s="31" t="inlineStr">
        <is>
          <t>TECO05</t>
        </is>
      </c>
      <c r="D324" s="31" t="n">
        <v>8102</v>
      </c>
      <c r="E324" s="31" t="n">
        <v>906</v>
      </c>
      <c r="F324" s="33" t="n">
        <v>739.6578366445916</v>
      </c>
      <c r="G324" s="33" t="n">
        <v>1506.275796732586</v>
      </c>
      <c r="H324" s="33" t="n">
        <v>3203.72</v>
      </c>
      <c r="I324" s="33" t="n">
        <v>1041</v>
      </c>
      <c r="J324" s="33" t="n">
        <v>203.7969094922737</v>
      </c>
      <c r="K324" s="33" t="n">
        <v>249.0180878552972</v>
      </c>
      <c r="L324" s="33" t="n">
        <v>613.1871982528231</v>
      </c>
      <c r="M324" s="33" t="n">
        <v>1601989.317563566</v>
      </c>
      <c r="N324" s="33" t="n">
        <v>254540</v>
      </c>
      <c r="O324" s="34" t="n">
        <v>0</v>
      </c>
      <c r="P324" s="34" t="n">
        <v>0.1455060656459473</v>
      </c>
      <c r="Q324" s="34" t="n">
        <v>-0.0104847858164996</v>
      </c>
      <c r="R324" s="31" t="n">
        <v>1680</v>
      </c>
      <c r="S324" s="31" t="n">
        <v>200</v>
      </c>
      <c r="T324" s="31" t="inlineStr">
        <is>
          <t>None</t>
        </is>
      </c>
      <c r="U324" s="31" t="inlineStr">
        <is>
          <t>Arterial</t>
        </is>
      </c>
      <c r="V324" s="31" t="inlineStr">
        <is>
          <t>NEW DEVELOPMENT RESULT</t>
        </is>
      </c>
      <c r="W324" s="31" t="n">
        <v>0.0009738550873646</v>
      </c>
    </row>
    <row r="325" ht="24" customHeight="1">
      <c r="A325" s="31" t="inlineStr">
        <is>
          <t>D018__TECO05__8103</t>
        </is>
      </c>
      <c r="B325" s="31" t="inlineStr">
        <is>
          <t>D018</t>
        </is>
      </c>
      <c r="C325" s="31" t="inlineStr">
        <is>
          <t>TECO05</t>
        </is>
      </c>
      <c r="D325" s="31" t="n">
        <v>8103</v>
      </c>
      <c r="E325" s="31" t="n">
        <v>862</v>
      </c>
      <c r="F325" s="33" t="n">
        <v>663.677494199536</v>
      </c>
      <c r="G325" s="33" t="n">
        <v>1489.703214445407</v>
      </c>
      <c r="H325" s="33" t="n">
        <v>3203.720000000001</v>
      </c>
      <c r="I325" s="33" t="n">
        <v>953.95</v>
      </c>
      <c r="J325" s="33" t="n">
        <v>133.4338747099768</v>
      </c>
      <c r="K325" s="33" t="n">
        <v>247.0275689223058</v>
      </c>
      <c r="L325" s="33" t="n">
        <v>607.6764235974201</v>
      </c>
      <c r="M325" s="33" t="n">
        <v>1526587.063867311</v>
      </c>
      <c r="N325" s="33" t="n">
        <v>248772</v>
      </c>
      <c r="O325" s="34" t="n">
        <v>0</v>
      </c>
      <c r="P325" s="34" t="n">
        <v>0.1207637701239174</v>
      </c>
      <c r="Q325" s="34" t="n">
        <v>-0.001432813203482</v>
      </c>
      <c r="R325" s="31" t="n">
        <v>1680</v>
      </c>
      <c r="S325" s="31" t="n">
        <v>200</v>
      </c>
      <c r="T325" s="31" t="inlineStr">
        <is>
          <t>None</t>
        </is>
      </c>
      <c r="U325" s="31" t="inlineStr">
        <is>
          <t>Arterial</t>
        </is>
      </c>
      <c r="V325" s="31" t="inlineStr">
        <is>
          <t>NEW DEVELOPMENT RESULT</t>
        </is>
      </c>
      <c r="W325" s="31" t="n">
        <v>0.0009785446079015</v>
      </c>
    </row>
    <row r="326" ht="24" customHeight="1">
      <c r="A326" s="31" t="inlineStr">
        <is>
          <t>D018__TECO10__8101</t>
        </is>
      </c>
      <c r="B326" s="31" t="inlineStr">
        <is>
          <t>D018</t>
        </is>
      </c>
      <c r="C326" s="31" t="inlineStr">
        <is>
          <t>TECO10</t>
        </is>
      </c>
      <c r="D326" s="31" t="n">
        <v>8101</v>
      </c>
      <c r="E326" s="31" t="n">
        <v>876</v>
      </c>
      <c r="F326" s="33" t="n">
        <v>757.7134703196347</v>
      </c>
      <c r="G326" s="33" t="n">
        <v>1527.392622806555</v>
      </c>
      <c r="H326" s="33" t="n">
        <v>3203.720000000001</v>
      </c>
      <c r="I326" s="33" t="n">
        <v>1019.25</v>
      </c>
      <c r="J326" s="33" t="n">
        <v>212.2865296803653</v>
      </c>
      <c r="K326" s="33" t="n">
        <v>246.9867724867725</v>
      </c>
      <c r="L326" s="33" t="n">
        <v>607.6499770611385</v>
      </c>
      <c r="M326" s="33" t="n">
        <v>1567687.628907653</v>
      </c>
      <c r="N326" s="33" t="n">
        <v>260753</v>
      </c>
      <c r="O326" s="34" t="n">
        <v>0</v>
      </c>
      <c r="P326" s="34" t="n">
        <v>0.1255857730792043</v>
      </c>
      <c r="Q326" s="34" t="n">
        <v>-0.0014221670291199</v>
      </c>
      <c r="R326" s="31" t="n">
        <v>1680</v>
      </c>
      <c r="S326" s="31" t="n">
        <v>200</v>
      </c>
      <c r="T326" s="31" t="inlineStr">
        <is>
          <t>None</t>
        </is>
      </c>
      <c r="U326" s="31" t="inlineStr">
        <is>
          <t>Arterial</t>
        </is>
      </c>
      <c r="V326" s="31" t="inlineStr">
        <is>
          <t>NEW DEVELOPMENT RESULT</t>
        </is>
      </c>
      <c r="W326" s="31" t="n">
        <v>0.0009453111262857</v>
      </c>
    </row>
    <row r="327" ht="24" customHeight="1">
      <c r="A327" s="31" t="inlineStr">
        <is>
          <t>D018__TECO10__8102</t>
        </is>
      </c>
      <c r="B327" s="31" t="inlineStr">
        <is>
          <t>D018</t>
        </is>
      </c>
      <c r="C327" s="31" t="inlineStr">
        <is>
          <t>TECO10</t>
        </is>
      </c>
      <c r="D327" s="31" t="n">
        <v>8102</v>
      </c>
      <c r="E327" s="31" t="n">
        <v>906</v>
      </c>
      <c r="F327" s="33" t="n">
        <v>739.6578366445916</v>
      </c>
      <c r="G327" s="33" t="n">
        <v>1506.275796732586</v>
      </c>
      <c r="H327" s="33" t="n">
        <v>3203.72</v>
      </c>
      <c r="I327" s="33" t="n">
        <v>1041</v>
      </c>
      <c r="J327" s="33" t="n">
        <v>203.7969094922737</v>
      </c>
      <c r="K327" s="33" t="n">
        <v>249.0180878552972</v>
      </c>
      <c r="L327" s="33" t="n">
        <v>613.1871982528231</v>
      </c>
      <c r="M327" s="33" t="n">
        <v>1601989.317563566</v>
      </c>
      <c r="N327" s="33" t="n">
        <v>254540</v>
      </c>
      <c r="O327" s="34" t="n">
        <v>0</v>
      </c>
      <c r="P327" s="34" t="n">
        <v>0.1455060656459473</v>
      </c>
      <c r="Q327" s="34" t="n">
        <v>-0.0104847858164996</v>
      </c>
      <c r="R327" s="31" t="n">
        <v>1680</v>
      </c>
      <c r="S327" s="31" t="n">
        <v>200</v>
      </c>
      <c r="T327" s="31" t="inlineStr">
        <is>
          <t>None</t>
        </is>
      </c>
      <c r="U327" s="31" t="inlineStr">
        <is>
          <t>Arterial</t>
        </is>
      </c>
      <c r="V327" s="31" t="inlineStr">
        <is>
          <t>NEW DEVELOPMENT RESULT</t>
        </is>
      </c>
      <c r="W327" s="31" t="n">
        <v>0.0009738550873646</v>
      </c>
    </row>
    <row r="328" ht="24" customHeight="1">
      <c r="A328" s="31" t="inlineStr">
        <is>
          <t>D018__TECO10__8103</t>
        </is>
      </c>
      <c r="B328" s="31" t="inlineStr">
        <is>
          <t>D018</t>
        </is>
      </c>
      <c r="C328" s="31" t="inlineStr">
        <is>
          <t>TECO10</t>
        </is>
      </c>
      <c r="D328" s="31" t="n">
        <v>8103</v>
      </c>
      <c r="E328" s="31" t="n">
        <v>862</v>
      </c>
      <c r="F328" s="33" t="n">
        <v>663.677494199536</v>
      </c>
      <c r="G328" s="33" t="n">
        <v>1489.703214445407</v>
      </c>
      <c r="H328" s="33" t="n">
        <v>3203.720000000001</v>
      </c>
      <c r="I328" s="33" t="n">
        <v>953.95</v>
      </c>
      <c r="J328" s="33" t="n">
        <v>133.4338747099768</v>
      </c>
      <c r="K328" s="33" t="n">
        <v>247.0275689223058</v>
      </c>
      <c r="L328" s="33" t="n">
        <v>607.6764235974201</v>
      </c>
      <c r="M328" s="33" t="n">
        <v>1526587.063867311</v>
      </c>
      <c r="N328" s="33" t="n">
        <v>248772</v>
      </c>
      <c r="O328" s="34" t="n">
        <v>0</v>
      </c>
      <c r="P328" s="34" t="n">
        <v>0.1207637701239174</v>
      </c>
      <c r="Q328" s="34" t="n">
        <v>-0.001432813203482</v>
      </c>
      <c r="R328" s="31" t="n">
        <v>1680</v>
      </c>
      <c r="S328" s="31" t="n">
        <v>200</v>
      </c>
      <c r="T328" s="31" t="inlineStr">
        <is>
          <t>None</t>
        </is>
      </c>
      <c r="U328" s="31" t="inlineStr">
        <is>
          <t>Arterial</t>
        </is>
      </c>
      <c r="V328" s="31" t="inlineStr">
        <is>
          <t>NEW DEVELOPMENT RESULT</t>
        </is>
      </c>
      <c r="W328" s="31" t="n">
        <v>0.0009785446079015</v>
      </c>
    </row>
    <row r="329" ht="24" customHeight="1">
      <c r="A329" s="31" t="inlineStr">
        <is>
          <t>D018__TECO15__8101</t>
        </is>
      </c>
      <c r="B329" s="31" t="inlineStr">
        <is>
          <t>D018</t>
        </is>
      </c>
      <c r="C329" s="31" t="inlineStr">
        <is>
          <t>TECO15</t>
        </is>
      </c>
      <c r="D329" s="31" t="n">
        <v>8101</v>
      </c>
      <c r="E329" s="31" t="n">
        <v>876</v>
      </c>
      <c r="F329" s="33" t="n">
        <v>757.7134703196347</v>
      </c>
      <c r="G329" s="33" t="n">
        <v>1527.392622806555</v>
      </c>
      <c r="H329" s="33" t="n">
        <v>3203.720000000001</v>
      </c>
      <c r="I329" s="33" t="n">
        <v>1019.25</v>
      </c>
      <c r="J329" s="33" t="n">
        <v>212.2865296803653</v>
      </c>
      <c r="K329" s="33" t="n">
        <v>246.9867724867725</v>
      </c>
      <c r="L329" s="33" t="n">
        <v>607.6499770611385</v>
      </c>
      <c r="M329" s="33" t="n">
        <v>1567687.628907653</v>
      </c>
      <c r="N329" s="33" t="n">
        <v>260753</v>
      </c>
      <c r="O329" s="34" t="n">
        <v>0</v>
      </c>
      <c r="P329" s="34" t="n">
        <v>0.1255857730792043</v>
      </c>
      <c r="Q329" s="34" t="n">
        <v>-0.0014221670291199</v>
      </c>
      <c r="R329" s="31" t="n">
        <v>1680</v>
      </c>
      <c r="S329" s="31" t="n">
        <v>200</v>
      </c>
      <c r="T329" s="31" t="inlineStr">
        <is>
          <t>None</t>
        </is>
      </c>
      <c r="U329" s="31" t="inlineStr">
        <is>
          <t>Arterial</t>
        </is>
      </c>
      <c r="V329" s="31" t="inlineStr">
        <is>
          <t>NEW DEVELOPMENT RESULT</t>
        </is>
      </c>
      <c r="W329" s="31" t="n">
        <v>0.0009453111262857</v>
      </c>
    </row>
    <row r="330" ht="24" customHeight="1">
      <c r="A330" s="31" t="inlineStr">
        <is>
          <t>D018__TECO15__8102</t>
        </is>
      </c>
      <c r="B330" s="31" t="inlineStr">
        <is>
          <t>D018</t>
        </is>
      </c>
      <c r="C330" s="31" t="inlineStr">
        <is>
          <t>TECO15</t>
        </is>
      </c>
      <c r="D330" s="31" t="n">
        <v>8102</v>
      </c>
      <c r="E330" s="31" t="n">
        <v>906</v>
      </c>
      <c r="F330" s="33" t="n">
        <v>739.6578366445916</v>
      </c>
      <c r="G330" s="33" t="n">
        <v>1506.275796732586</v>
      </c>
      <c r="H330" s="33" t="n">
        <v>3203.72</v>
      </c>
      <c r="I330" s="33" t="n">
        <v>1041</v>
      </c>
      <c r="J330" s="33" t="n">
        <v>203.7969094922737</v>
      </c>
      <c r="K330" s="33" t="n">
        <v>249.0180878552972</v>
      </c>
      <c r="L330" s="33" t="n">
        <v>613.1871982528231</v>
      </c>
      <c r="M330" s="33" t="n">
        <v>1601989.317563566</v>
      </c>
      <c r="N330" s="33" t="n">
        <v>254540</v>
      </c>
      <c r="O330" s="34" t="n">
        <v>0</v>
      </c>
      <c r="P330" s="34" t="n">
        <v>0.1455060656459473</v>
      </c>
      <c r="Q330" s="34" t="n">
        <v>-0.0104847858164996</v>
      </c>
      <c r="R330" s="31" t="n">
        <v>1680</v>
      </c>
      <c r="S330" s="31" t="n">
        <v>200</v>
      </c>
      <c r="T330" s="31" t="inlineStr">
        <is>
          <t>None</t>
        </is>
      </c>
      <c r="U330" s="31" t="inlineStr">
        <is>
          <t>Arterial</t>
        </is>
      </c>
      <c r="V330" s="31" t="inlineStr">
        <is>
          <t>NEW DEVELOPMENT RESULT</t>
        </is>
      </c>
      <c r="W330" s="31" t="n">
        <v>0.0009738550873646</v>
      </c>
    </row>
    <row r="331" ht="24" customHeight="1">
      <c r="A331" s="31" t="inlineStr">
        <is>
          <t>D018__TECO15__8103</t>
        </is>
      </c>
      <c r="B331" s="31" t="inlineStr">
        <is>
          <t>D018</t>
        </is>
      </c>
      <c r="C331" s="31" t="inlineStr">
        <is>
          <t>TECO15</t>
        </is>
      </c>
      <c r="D331" s="31" t="n">
        <v>8103</v>
      </c>
      <c r="E331" s="31" t="n">
        <v>862</v>
      </c>
      <c r="F331" s="33" t="n">
        <v>663.677494199536</v>
      </c>
      <c r="G331" s="33" t="n">
        <v>1489.703214445407</v>
      </c>
      <c r="H331" s="33" t="n">
        <v>3203.720000000001</v>
      </c>
      <c r="I331" s="33" t="n">
        <v>953.95</v>
      </c>
      <c r="J331" s="33" t="n">
        <v>133.4338747099768</v>
      </c>
      <c r="K331" s="33" t="n">
        <v>247.0275689223058</v>
      </c>
      <c r="L331" s="33" t="n">
        <v>607.6764235974201</v>
      </c>
      <c r="M331" s="33" t="n">
        <v>1526587.063867311</v>
      </c>
      <c r="N331" s="33" t="n">
        <v>248772</v>
      </c>
      <c r="O331" s="34" t="n">
        <v>0</v>
      </c>
      <c r="P331" s="34" t="n">
        <v>0.1207637701239174</v>
      </c>
      <c r="Q331" s="34" t="n">
        <v>-0.001432813203482</v>
      </c>
      <c r="R331" s="31" t="n">
        <v>1680</v>
      </c>
      <c r="S331" s="31" t="n">
        <v>200</v>
      </c>
      <c r="T331" s="31" t="inlineStr">
        <is>
          <t>None</t>
        </is>
      </c>
      <c r="U331" s="31" t="inlineStr">
        <is>
          <t>Arterial</t>
        </is>
      </c>
      <c r="V331" s="31" t="inlineStr">
        <is>
          <t>NEW DEVELOPMENT RESULT</t>
        </is>
      </c>
      <c r="W331" s="31" t="n">
        <v>0.0009785446079015</v>
      </c>
    </row>
    <row r="332" ht="24" customHeight="1">
      <c r="A332" s="31" t="inlineStr">
        <is>
          <t>D019__SP__8101</t>
        </is>
      </c>
      <c r="B332" s="31" t="inlineStr">
        <is>
          <t>D019</t>
        </is>
      </c>
      <c r="C332" s="31" t="inlineStr">
        <is>
          <t>SP</t>
        </is>
      </c>
      <c r="D332" s="31" t="n">
        <v>8101</v>
      </c>
      <c r="E332" s="31" t="n">
        <v>876</v>
      </c>
      <c r="F332" s="33" t="n">
        <v>1409.590182648402</v>
      </c>
      <c r="G332" s="33" t="n">
        <v>2155.494588134603</v>
      </c>
      <c r="H332" s="33" t="n">
        <v>3203.720000000001</v>
      </c>
      <c r="I332" s="33" t="n">
        <v>2003.5</v>
      </c>
      <c r="J332" s="33" t="n">
        <v>684.5856164383562</v>
      </c>
      <c r="K332" s="33" t="n">
        <v>236.9867724867725</v>
      </c>
      <c r="L332" s="33" t="n">
        <v>578.6863631529501</v>
      </c>
      <c r="M332" s="33" t="n">
        <v>2106956.704477726</v>
      </c>
      <c r="N332" s="33" t="n">
        <v>481832</v>
      </c>
      <c r="O332" s="34" t="n">
        <v>0</v>
      </c>
      <c r="P332" s="34" t="n">
        <v>0.0145060347342963</v>
      </c>
      <c r="Q332" s="34" t="n">
        <v>0.0017784039108109</v>
      </c>
      <c r="R332" s="31" t="n">
        <v>1680</v>
      </c>
      <c r="S332" s="31" t="n">
        <v>200</v>
      </c>
      <c r="T332" s="31" t="inlineStr">
        <is>
          <t>U</t>
        </is>
      </c>
      <c r="U332" s="31" t="inlineStr">
        <is>
          <t>Balanced</t>
        </is>
      </c>
      <c r="V332" s="31" t="inlineStr">
        <is>
          <t>NEW DEVELOPMENT RESULT</t>
        </is>
      </c>
      <c r="W332" s="31" t="n">
        <v>0.0006897155304282999</v>
      </c>
    </row>
    <row r="333" ht="24" customHeight="1">
      <c r="A333" s="31" t="inlineStr">
        <is>
          <t>D019__SP__8102</t>
        </is>
      </c>
      <c r="B333" s="31" t="inlineStr">
        <is>
          <t>D019</t>
        </is>
      </c>
      <c r="C333" s="31" t="inlineStr">
        <is>
          <t>SP</t>
        </is>
      </c>
      <c r="D333" s="31" t="n">
        <v>8102</v>
      </c>
      <c r="E333" s="31" t="n">
        <v>906</v>
      </c>
      <c r="F333" s="33" t="n">
        <v>1386.082781456954</v>
      </c>
      <c r="G333" s="33" t="n">
        <v>2153.771022081836</v>
      </c>
      <c r="H333" s="33" t="n">
        <v>3203.72</v>
      </c>
      <c r="I333" s="33" t="n">
        <v>2027</v>
      </c>
      <c r="J333" s="33" t="n">
        <v>661.8520971302428</v>
      </c>
      <c r="K333" s="33" t="n">
        <v>238.7777777777778</v>
      </c>
      <c r="L333" s="33" t="n">
        <v>583.9838383188488</v>
      </c>
      <c r="M333" s="33" t="n">
        <v>2177318.291435537</v>
      </c>
      <c r="N333" s="33" t="n">
        <v>474374</v>
      </c>
      <c r="O333" s="34" t="n">
        <v>0</v>
      </c>
      <c r="P333" s="34" t="n">
        <v>0.0225603535823422</v>
      </c>
      <c r="Q333" s="34" t="n">
        <v>-0.0072890209881627</v>
      </c>
      <c r="R333" s="31" t="n">
        <v>1680</v>
      </c>
      <c r="S333" s="31" t="n">
        <v>200</v>
      </c>
      <c r="T333" s="31" t="inlineStr">
        <is>
          <t>U</t>
        </is>
      </c>
      <c r="U333" s="31" t="inlineStr">
        <is>
          <t>Balanced</t>
        </is>
      </c>
      <c r="V333" s="31" t="inlineStr">
        <is>
          <t>NEW DEVELOPMENT RESULT</t>
        </is>
      </c>
      <c r="W333" s="31" t="n">
        <v>0.0007034392265704</v>
      </c>
    </row>
    <row r="334" ht="24" customHeight="1">
      <c r="A334" s="31" t="inlineStr">
        <is>
          <t>D019__SP__8103</t>
        </is>
      </c>
      <c r="B334" s="31" t="inlineStr">
        <is>
          <t>D019</t>
        </is>
      </c>
      <c r="C334" s="31" t="inlineStr">
        <is>
          <t>SP</t>
        </is>
      </c>
      <c r="D334" s="31" t="n">
        <v>8103</v>
      </c>
      <c r="E334" s="31" t="n">
        <v>862</v>
      </c>
      <c r="F334" s="33" t="n">
        <v>1318.317865429234</v>
      </c>
      <c r="G334" s="33" t="n">
        <v>2155.62009480528</v>
      </c>
      <c r="H334" s="33" t="n">
        <v>3203.720000000001</v>
      </c>
      <c r="I334" s="33" t="n">
        <v>1931</v>
      </c>
      <c r="J334" s="33" t="n">
        <v>593.4106728538283</v>
      </c>
      <c r="K334" s="33" t="n">
        <v>237.0275689223058</v>
      </c>
      <c r="L334" s="33" t="n">
        <v>579.2319598187086</v>
      </c>
      <c r="M334" s="33" t="n">
        <v>2089258.073689816</v>
      </c>
      <c r="N334" s="33" t="n">
        <v>466746</v>
      </c>
      <c r="O334" s="34" t="n">
        <v>0</v>
      </c>
      <c r="P334" s="34" t="n">
        <v>0.0155482916094154</v>
      </c>
      <c r="Q334" s="34" t="n">
        <v>0.0003530684847753</v>
      </c>
      <c r="R334" s="31" t="n">
        <v>1680</v>
      </c>
      <c r="S334" s="31" t="n">
        <v>200</v>
      </c>
      <c r="T334" s="31" t="inlineStr">
        <is>
          <t>U</t>
        </is>
      </c>
      <c r="U334" s="31" t="inlineStr">
        <is>
          <t>Balanced</t>
        </is>
      </c>
      <c r="V334" s="31" t="inlineStr">
        <is>
          <t>NEW DEVELOPMENT RESULT</t>
        </is>
      </c>
      <c r="W334" s="31" t="n">
        <v>0.0007038621077499</v>
      </c>
    </row>
    <row r="335" ht="24" customHeight="1">
      <c r="A335" s="31" t="inlineStr">
        <is>
          <t>D019__DTT__8101</t>
        </is>
      </c>
      <c r="B335" s="31" t="inlineStr">
        <is>
          <t>D019</t>
        </is>
      </c>
      <c r="C335" s="31" t="inlineStr">
        <is>
          <t>DTT</t>
        </is>
      </c>
      <c r="D335" s="31" t="n">
        <v>8101</v>
      </c>
      <c r="E335" s="31" t="n">
        <v>876</v>
      </c>
      <c r="F335" s="33" t="n">
        <v>596.7568493150685</v>
      </c>
      <c r="G335" s="33" t="n">
        <v>1656.814685777548</v>
      </c>
      <c r="H335" s="33" t="n">
        <v>3518.878824200913</v>
      </c>
      <c r="I335" s="33" t="n">
        <v>796.25</v>
      </c>
      <c r="J335" s="33" t="n">
        <v>2.767123287671233</v>
      </c>
      <c r="K335" s="33" t="n">
        <v>236.9867724867725</v>
      </c>
      <c r="L335" s="33" t="n">
        <v>578.6863631529501</v>
      </c>
      <c r="M335" s="33" t="n">
        <v>1670113.110012947</v>
      </c>
      <c r="N335" s="33" t="n">
        <v>345283</v>
      </c>
      <c r="O335" s="34" t="n">
        <v>0.4207153373170521</v>
      </c>
      <c r="P335" s="34" t="n">
        <v>0.2762303940543685</v>
      </c>
      <c r="Q335" s="34" t="n">
        <v>0.0910120622182074</v>
      </c>
      <c r="R335" s="31" t="n">
        <v>1680</v>
      </c>
      <c r="S335" s="31" t="n">
        <v>200</v>
      </c>
      <c r="T335" s="31" t="inlineStr">
        <is>
          <t>U</t>
        </is>
      </c>
      <c r="U335" s="31" t="inlineStr">
        <is>
          <t>Balanced</t>
        </is>
      </c>
      <c r="V335" s="31" t="inlineStr">
        <is>
          <t>NEW DEVELOPMENT RESULT</t>
        </is>
      </c>
      <c r="W335" s="31" t="n">
        <v>0.0008073040312794</v>
      </c>
    </row>
    <row r="336" ht="24" customHeight="1">
      <c r="A336" s="31" t="inlineStr">
        <is>
          <t>D019__DTT__8102</t>
        </is>
      </c>
      <c r="B336" s="31" t="inlineStr">
        <is>
          <t>D019</t>
        </is>
      </c>
      <c r="C336" s="31" t="inlineStr">
        <is>
          <t>DTT</t>
        </is>
      </c>
      <c r="D336" s="31" t="n">
        <v>8102</v>
      </c>
      <c r="E336" s="31" t="n">
        <v>906</v>
      </c>
      <c r="F336" s="33" t="n">
        <v>569.8841059602649</v>
      </c>
      <c r="G336" s="33" t="n">
        <v>1577.713113074101</v>
      </c>
      <c r="H336" s="33" t="n">
        <v>3503.244216335541</v>
      </c>
      <c r="I336" s="33" t="n">
        <v>808.25</v>
      </c>
      <c r="J336" s="33" t="n">
        <v>2.254966887417218</v>
      </c>
      <c r="K336" s="33" t="n">
        <v>238.7777777777778</v>
      </c>
      <c r="L336" s="33" t="n">
        <v>583.9838383188488</v>
      </c>
      <c r="M336" s="33" t="n">
        <v>1655409.82587453</v>
      </c>
      <c r="N336" s="33" t="n">
        <v>315696</v>
      </c>
      <c r="O336" s="34" t="n">
        <v>0.4012001352265044</v>
      </c>
      <c r="P336" s="34" t="n">
        <v>0.248041203322028</v>
      </c>
      <c r="Q336" s="34" t="n">
        <v>0.0391604135094511</v>
      </c>
      <c r="R336" s="31" t="n">
        <v>1680</v>
      </c>
      <c r="S336" s="31" t="n">
        <v>200</v>
      </c>
      <c r="T336" s="31" t="inlineStr">
        <is>
          <t>U</t>
        </is>
      </c>
      <c r="U336" s="31" t="inlineStr">
        <is>
          <t>Balanced</t>
        </is>
      </c>
      <c r="V336" s="31" t="inlineStr">
        <is>
          <t>NEW DEVELOPMENT RESULT</t>
        </is>
      </c>
      <c r="W336" s="31" t="n">
        <v>0.0008584173848952</v>
      </c>
    </row>
    <row r="337" ht="24" customHeight="1">
      <c r="A337" s="31" t="inlineStr">
        <is>
          <t>D019__DTT__8103</t>
        </is>
      </c>
      <c r="B337" s="31" t="inlineStr">
        <is>
          <t>D019</t>
        </is>
      </c>
      <c r="C337" s="31" t="inlineStr">
        <is>
          <t>DTT</t>
        </is>
      </c>
      <c r="D337" s="31" t="n">
        <v>8103</v>
      </c>
      <c r="E337" s="31" t="n">
        <v>862</v>
      </c>
      <c r="F337" s="33" t="n">
        <v>577.5174013921114</v>
      </c>
      <c r="G337" s="33" t="n">
        <v>1606.158379648351</v>
      </c>
      <c r="H337" s="33" t="n">
        <v>3499.675290023202</v>
      </c>
      <c r="I337" s="33" t="n">
        <v>781.3999999999992</v>
      </c>
      <c r="J337" s="33" t="n">
        <v>4.709976798143852</v>
      </c>
      <c r="K337" s="33" t="n">
        <v>237.0275689223058</v>
      </c>
      <c r="L337" s="33" t="n">
        <v>579.2319598187086</v>
      </c>
      <c r="M337" s="33" t="n">
        <v>1615622.075224543</v>
      </c>
      <c r="N337" s="33" t="n">
        <v>321149</v>
      </c>
      <c r="O337" s="34" t="n">
        <v>0.4130589070262597</v>
      </c>
      <c r="P337" s="34" t="n">
        <v>0.3037917982747105</v>
      </c>
      <c r="Q337" s="34" t="n">
        <v>0.0889583123102551</v>
      </c>
      <c r="R337" s="31" t="n">
        <v>1680</v>
      </c>
      <c r="S337" s="31" t="n">
        <v>200</v>
      </c>
      <c r="T337" s="31" t="inlineStr">
        <is>
          <t>U</t>
        </is>
      </c>
      <c r="U337" s="31" t="inlineStr">
        <is>
          <t>Balanced</t>
        </is>
      </c>
      <c r="V337" s="31" t="inlineStr">
        <is>
          <t>NEW DEVELOPMENT RESULT</t>
        </is>
      </c>
      <c r="W337" s="31" t="n">
        <v>0.0008494608943181</v>
      </c>
    </row>
    <row r="338" ht="24" customHeight="1">
      <c r="A338" s="31" t="inlineStr">
        <is>
          <t>D019__ECO__8101</t>
        </is>
      </c>
      <c r="B338" s="31" t="inlineStr">
        <is>
          <t>D019</t>
        </is>
      </c>
      <c r="C338" s="31" t="inlineStr">
        <is>
          <t>ECO</t>
        </is>
      </c>
      <c r="D338" s="31" t="n">
        <v>8101</v>
      </c>
      <c r="E338" s="31" t="n">
        <v>876</v>
      </c>
      <c r="F338" s="33" t="n">
        <v>1409.590182648402</v>
      </c>
      <c r="G338" s="33" t="n">
        <v>2155.494588134603</v>
      </c>
      <c r="H338" s="33" t="n">
        <v>3203.720000000001</v>
      </c>
      <c r="I338" s="33" t="n">
        <v>2003.5</v>
      </c>
      <c r="J338" s="33" t="n">
        <v>684.5856164383562</v>
      </c>
      <c r="K338" s="33" t="n">
        <v>236.9867724867725</v>
      </c>
      <c r="L338" s="33" t="n">
        <v>578.6863631529501</v>
      </c>
      <c r="M338" s="33" t="n">
        <v>2106956.704477726</v>
      </c>
      <c r="N338" s="33" t="n">
        <v>481832</v>
      </c>
      <c r="O338" s="34" t="n">
        <v>0</v>
      </c>
      <c r="P338" s="34" t="n">
        <v>0.0145060347342963</v>
      </c>
      <c r="Q338" s="34" t="n">
        <v>0.0017784039108109</v>
      </c>
      <c r="R338" s="31" t="n">
        <v>1680</v>
      </c>
      <c r="S338" s="31" t="n">
        <v>200</v>
      </c>
      <c r="T338" s="31" t="inlineStr">
        <is>
          <t>U</t>
        </is>
      </c>
      <c r="U338" s="31" t="inlineStr">
        <is>
          <t>Balanced</t>
        </is>
      </c>
      <c r="V338" s="31" t="inlineStr">
        <is>
          <t>NEW DEVELOPMENT RESULT</t>
        </is>
      </c>
      <c r="W338" s="31" t="n">
        <v>0.0006897155304282999</v>
      </c>
    </row>
    <row r="339" ht="24" customHeight="1">
      <c r="A339" s="31" t="inlineStr">
        <is>
          <t>D019__ECO__8102</t>
        </is>
      </c>
      <c r="B339" s="31" t="inlineStr">
        <is>
          <t>D019</t>
        </is>
      </c>
      <c r="C339" s="31" t="inlineStr">
        <is>
          <t>ECO</t>
        </is>
      </c>
      <c r="D339" s="31" t="n">
        <v>8102</v>
      </c>
      <c r="E339" s="31" t="n">
        <v>906</v>
      </c>
      <c r="F339" s="33" t="n">
        <v>1386.082781456954</v>
      </c>
      <c r="G339" s="33" t="n">
        <v>2153.771022081836</v>
      </c>
      <c r="H339" s="33" t="n">
        <v>3203.72</v>
      </c>
      <c r="I339" s="33" t="n">
        <v>2027</v>
      </c>
      <c r="J339" s="33" t="n">
        <v>661.8520971302428</v>
      </c>
      <c r="K339" s="33" t="n">
        <v>238.7777777777778</v>
      </c>
      <c r="L339" s="33" t="n">
        <v>583.9838383188488</v>
      </c>
      <c r="M339" s="33" t="n">
        <v>2177318.291435537</v>
      </c>
      <c r="N339" s="33" t="n">
        <v>474374</v>
      </c>
      <c r="O339" s="34" t="n">
        <v>0</v>
      </c>
      <c r="P339" s="34" t="n">
        <v>0.0225603535823422</v>
      </c>
      <c r="Q339" s="34" t="n">
        <v>-0.0072890209881627</v>
      </c>
      <c r="R339" s="31" t="n">
        <v>1680</v>
      </c>
      <c r="S339" s="31" t="n">
        <v>200</v>
      </c>
      <c r="T339" s="31" t="inlineStr">
        <is>
          <t>U</t>
        </is>
      </c>
      <c r="U339" s="31" t="inlineStr">
        <is>
          <t>Balanced</t>
        </is>
      </c>
      <c r="V339" s="31" t="inlineStr">
        <is>
          <t>NEW DEVELOPMENT RESULT</t>
        </is>
      </c>
      <c r="W339" s="31" t="n">
        <v>0.0007034392265704</v>
      </c>
    </row>
    <row r="340" ht="24" customHeight="1">
      <c r="A340" s="31" t="inlineStr">
        <is>
          <t>D019__ECO__8103</t>
        </is>
      </c>
      <c r="B340" s="31" t="inlineStr">
        <is>
          <t>D019</t>
        </is>
      </c>
      <c r="C340" s="31" t="inlineStr">
        <is>
          <t>ECO</t>
        </is>
      </c>
      <c r="D340" s="31" t="n">
        <v>8103</v>
      </c>
      <c r="E340" s="31" t="n">
        <v>862</v>
      </c>
      <c r="F340" s="33" t="n">
        <v>1318.317865429234</v>
      </c>
      <c r="G340" s="33" t="n">
        <v>2155.62009480528</v>
      </c>
      <c r="H340" s="33" t="n">
        <v>3203.720000000001</v>
      </c>
      <c r="I340" s="33" t="n">
        <v>1931</v>
      </c>
      <c r="J340" s="33" t="n">
        <v>593.4106728538283</v>
      </c>
      <c r="K340" s="33" t="n">
        <v>237.0275689223058</v>
      </c>
      <c r="L340" s="33" t="n">
        <v>579.2319598187086</v>
      </c>
      <c r="M340" s="33" t="n">
        <v>2089258.073689816</v>
      </c>
      <c r="N340" s="33" t="n">
        <v>466746</v>
      </c>
      <c r="O340" s="34" t="n">
        <v>0</v>
      </c>
      <c r="P340" s="34" t="n">
        <v>0.0155482916094154</v>
      </c>
      <c r="Q340" s="34" t="n">
        <v>0.0003530684847753</v>
      </c>
      <c r="R340" s="31" t="n">
        <v>1680</v>
      </c>
      <c r="S340" s="31" t="n">
        <v>200</v>
      </c>
      <c r="T340" s="31" t="inlineStr">
        <is>
          <t>U</t>
        </is>
      </c>
      <c r="U340" s="31" t="inlineStr">
        <is>
          <t>Balanced</t>
        </is>
      </c>
      <c r="V340" s="31" t="inlineStr">
        <is>
          <t>NEW DEVELOPMENT RESULT</t>
        </is>
      </c>
      <c r="W340" s="31" t="n">
        <v>0.0007038621077499</v>
      </c>
    </row>
    <row r="341" ht="24" customHeight="1">
      <c r="A341" s="31" t="inlineStr">
        <is>
          <t>D019__TECO05__8101</t>
        </is>
      </c>
      <c r="B341" s="31" t="inlineStr">
        <is>
          <t>D019</t>
        </is>
      </c>
      <c r="C341" s="31" t="inlineStr">
        <is>
          <t>TECO05</t>
        </is>
      </c>
      <c r="D341" s="31" t="n">
        <v>8101</v>
      </c>
      <c r="E341" s="31" t="n">
        <v>876</v>
      </c>
      <c r="F341" s="33" t="n">
        <v>814.6723744292237</v>
      </c>
      <c r="G341" s="33" t="n">
        <v>1912.571488074314</v>
      </c>
      <c r="H341" s="33" t="n">
        <v>3370.59694063927</v>
      </c>
      <c r="I341" s="33" t="n">
        <v>1214.25</v>
      </c>
      <c r="J341" s="33" t="n">
        <v>158.6358447488585</v>
      </c>
      <c r="K341" s="33" t="n">
        <v>236.9867724867725</v>
      </c>
      <c r="L341" s="33" t="n">
        <v>578.6863631529501</v>
      </c>
      <c r="M341" s="33" t="n">
        <v>1894156.068824914</v>
      </c>
      <c r="N341" s="33" t="n">
        <v>418488</v>
      </c>
      <c r="O341" s="34" t="n">
        <v>0.2658024224072672</v>
      </c>
      <c r="P341" s="34" t="n">
        <v>0.1425662731771739</v>
      </c>
      <c r="Q341" s="34" t="n">
        <v>0.06316461169659961</v>
      </c>
      <c r="R341" s="31" t="n">
        <v>1680</v>
      </c>
      <c r="S341" s="31" t="n">
        <v>200</v>
      </c>
      <c r="T341" s="31" t="inlineStr">
        <is>
          <t>U</t>
        </is>
      </c>
      <c r="U341" s="31" t="inlineStr">
        <is>
          <t>Balanced</t>
        </is>
      </c>
      <c r="V341" s="31" t="inlineStr">
        <is>
          <t>NEW DEVELOPMENT RESULT</t>
        </is>
      </c>
      <c r="W341" s="31" t="n">
        <v>0.0007274839275363</v>
      </c>
    </row>
    <row r="342" ht="24" customHeight="1">
      <c r="A342" s="31" t="inlineStr">
        <is>
          <t>D019__TECO05__8102</t>
        </is>
      </c>
      <c r="B342" s="31" t="inlineStr">
        <is>
          <t>D019</t>
        </is>
      </c>
      <c r="C342" s="31" t="inlineStr">
        <is>
          <t>TECO05</t>
        </is>
      </c>
      <c r="D342" s="31" t="n">
        <v>8102</v>
      </c>
      <c r="E342" s="31" t="n">
        <v>906</v>
      </c>
      <c r="F342" s="33" t="n">
        <v>767.5927152317881</v>
      </c>
      <c r="G342" s="33" t="n">
        <v>1882.104033159112</v>
      </c>
      <c r="H342" s="33" t="n">
        <v>3378.92110375276</v>
      </c>
      <c r="I342" s="33" t="n">
        <v>1149</v>
      </c>
      <c r="J342" s="33" t="n">
        <v>122.4370860927152</v>
      </c>
      <c r="K342" s="33" t="n">
        <v>238.7777777777778</v>
      </c>
      <c r="L342" s="33" t="n">
        <v>583.9838383188488</v>
      </c>
      <c r="M342" s="33" t="n">
        <v>1931187.99947155</v>
      </c>
      <c r="N342" s="33" t="n">
        <v>400484</v>
      </c>
      <c r="O342" s="34" t="n">
        <v>0.2744580069229367</v>
      </c>
      <c r="P342" s="34" t="n">
        <v>0.1310610895406796</v>
      </c>
      <c r="Q342" s="34" t="n">
        <v>0.0438730716469454</v>
      </c>
      <c r="R342" s="31" t="n">
        <v>1680</v>
      </c>
      <c r="S342" s="31" t="n">
        <v>200</v>
      </c>
      <c r="T342" s="31" t="inlineStr">
        <is>
          <t>U</t>
        </is>
      </c>
      <c r="U342" s="31" t="inlineStr">
        <is>
          <t>Balanced</t>
        </is>
      </c>
      <c r="V342" s="31" t="inlineStr">
        <is>
          <t>NEW DEVELOPMENT RESULT</t>
        </is>
      </c>
      <c r="W342" s="31" t="n">
        <v>0.0007524067217865999</v>
      </c>
    </row>
    <row r="343" ht="24" customHeight="1">
      <c r="A343" s="31" t="inlineStr">
        <is>
          <t>D019__TECO05__8103</t>
        </is>
      </c>
      <c r="B343" s="31" t="inlineStr">
        <is>
          <t>D019</t>
        </is>
      </c>
      <c r="C343" s="31" t="inlineStr">
        <is>
          <t>TECO05</t>
        </is>
      </c>
      <c r="D343" s="31" t="n">
        <v>8103</v>
      </c>
      <c r="E343" s="31" t="n">
        <v>862</v>
      </c>
      <c r="F343" s="33" t="n">
        <v>749.0649651972158</v>
      </c>
      <c r="G343" s="33" t="n">
        <v>1878.814831280993</v>
      </c>
      <c r="H343" s="33" t="n">
        <v>3363.117447795824</v>
      </c>
      <c r="I343" s="33" t="n">
        <v>1167</v>
      </c>
      <c r="J343" s="33" t="n">
        <v>106.8596287703016</v>
      </c>
      <c r="K343" s="33" t="n">
        <v>237.0275689223058</v>
      </c>
      <c r="L343" s="33" t="n">
        <v>579.2319598187086</v>
      </c>
      <c r="M343" s="33" t="n">
        <v>1850651.936531881</v>
      </c>
      <c r="N343" s="33" t="n">
        <v>395878</v>
      </c>
      <c r="O343" s="34" t="n">
        <v>0.2543927399111798</v>
      </c>
      <c r="P343" s="34" t="n">
        <v>0.1405849919508699</v>
      </c>
      <c r="Q343" s="34" t="n">
        <v>0.0551433408110029</v>
      </c>
      <c r="R343" s="31" t="n">
        <v>1680</v>
      </c>
      <c r="S343" s="31" t="n">
        <v>200</v>
      </c>
      <c r="T343" s="31" t="inlineStr">
        <is>
          <t>U</t>
        </is>
      </c>
      <c r="U343" s="31" t="inlineStr">
        <is>
          <t>Balanced</t>
        </is>
      </c>
      <c r="V343" s="31" t="inlineStr">
        <is>
          <t>NEW DEVELOPMENT RESULT</t>
        </is>
      </c>
      <c r="W343" s="31" t="n">
        <v>0.0007545431959531</v>
      </c>
    </row>
    <row r="344" ht="24" customHeight="1">
      <c r="A344" s="31" t="inlineStr">
        <is>
          <t>D019__TECO10__8101</t>
        </is>
      </c>
      <c r="B344" s="31" t="inlineStr">
        <is>
          <t>D019</t>
        </is>
      </c>
      <c r="C344" s="31" t="inlineStr">
        <is>
          <t>TECO10</t>
        </is>
      </c>
      <c r="D344" s="31" t="n">
        <v>8101</v>
      </c>
      <c r="E344" s="31" t="n">
        <v>876</v>
      </c>
      <c r="F344" s="33" t="n">
        <v>1409.590182648402</v>
      </c>
      <c r="G344" s="33" t="n">
        <v>2155.494588134603</v>
      </c>
      <c r="H344" s="33" t="n">
        <v>3203.720000000001</v>
      </c>
      <c r="I344" s="33" t="n">
        <v>2003.5</v>
      </c>
      <c r="J344" s="33" t="n">
        <v>684.5856164383562</v>
      </c>
      <c r="K344" s="33" t="n">
        <v>236.9867724867725</v>
      </c>
      <c r="L344" s="33" t="n">
        <v>578.6863631529501</v>
      </c>
      <c r="M344" s="33" t="n">
        <v>2106956.704477726</v>
      </c>
      <c r="N344" s="33" t="n">
        <v>481832</v>
      </c>
      <c r="O344" s="34" t="n">
        <v>0</v>
      </c>
      <c r="P344" s="34" t="n">
        <v>0.0145060347342963</v>
      </c>
      <c r="Q344" s="34" t="n">
        <v>0.0017784039108109</v>
      </c>
      <c r="R344" s="31" t="n">
        <v>1680</v>
      </c>
      <c r="S344" s="31" t="n">
        <v>200</v>
      </c>
      <c r="T344" s="31" t="inlineStr">
        <is>
          <t>U</t>
        </is>
      </c>
      <c r="U344" s="31" t="inlineStr">
        <is>
          <t>Balanced</t>
        </is>
      </c>
      <c r="V344" s="31" t="inlineStr">
        <is>
          <t>NEW DEVELOPMENT RESULT</t>
        </is>
      </c>
      <c r="W344" s="31" t="n">
        <v>0.0006897155304282999</v>
      </c>
    </row>
    <row r="345" ht="24" customHeight="1">
      <c r="A345" s="31" t="inlineStr">
        <is>
          <t>D019__TECO10__8102</t>
        </is>
      </c>
      <c r="B345" s="31" t="inlineStr">
        <is>
          <t>D019</t>
        </is>
      </c>
      <c r="C345" s="31" t="inlineStr">
        <is>
          <t>TECO10</t>
        </is>
      </c>
      <c r="D345" s="31" t="n">
        <v>8102</v>
      </c>
      <c r="E345" s="31" t="n">
        <v>906</v>
      </c>
      <c r="F345" s="33" t="n">
        <v>1386.082781456954</v>
      </c>
      <c r="G345" s="33" t="n">
        <v>2153.771022081836</v>
      </c>
      <c r="H345" s="33" t="n">
        <v>3203.72</v>
      </c>
      <c r="I345" s="33" t="n">
        <v>2027</v>
      </c>
      <c r="J345" s="33" t="n">
        <v>661.8520971302428</v>
      </c>
      <c r="K345" s="33" t="n">
        <v>238.7777777777778</v>
      </c>
      <c r="L345" s="33" t="n">
        <v>583.9838383188488</v>
      </c>
      <c r="M345" s="33" t="n">
        <v>2177318.291435537</v>
      </c>
      <c r="N345" s="33" t="n">
        <v>474374</v>
      </c>
      <c r="O345" s="34" t="n">
        <v>0</v>
      </c>
      <c r="P345" s="34" t="n">
        <v>0.0225603535823422</v>
      </c>
      <c r="Q345" s="34" t="n">
        <v>-0.0072890209881627</v>
      </c>
      <c r="R345" s="31" t="n">
        <v>1680</v>
      </c>
      <c r="S345" s="31" t="n">
        <v>200</v>
      </c>
      <c r="T345" s="31" t="inlineStr">
        <is>
          <t>U</t>
        </is>
      </c>
      <c r="U345" s="31" t="inlineStr">
        <is>
          <t>Balanced</t>
        </is>
      </c>
      <c r="V345" s="31" t="inlineStr">
        <is>
          <t>NEW DEVELOPMENT RESULT</t>
        </is>
      </c>
      <c r="W345" s="31" t="n">
        <v>0.0007034392265704</v>
      </c>
    </row>
    <row r="346" ht="24" customHeight="1">
      <c r="A346" s="31" t="inlineStr">
        <is>
          <t>D019__TECO10__8103</t>
        </is>
      </c>
      <c r="B346" s="31" t="inlineStr">
        <is>
          <t>D019</t>
        </is>
      </c>
      <c r="C346" s="31" t="inlineStr">
        <is>
          <t>TECO10</t>
        </is>
      </c>
      <c r="D346" s="31" t="n">
        <v>8103</v>
      </c>
      <c r="E346" s="31" t="n">
        <v>862</v>
      </c>
      <c r="F346" s="33" t="n">
        <v>1318.317865429234</v>
      </c>
      <c r="G346" s="33" t="n">
        <v>2155.62009480528</v>
      </c>
      <c r="H346" s="33" t="n">
        <v>3203.720000000001</v>
      </c>
      <c r="I346" s="33" t="n">
        <v>1931</v>
      </c>
      <c r="J346" s="33" t="n">
        <v>593.4106728538283</v>
      </c>
      <c r="K346" s="33" t="n">
        <v>237.0275689223058</v>
      </c>
      <c r="L346" s="33" t="n">
        <v>579.2319598187086</v>
      </c>
      <c r="M346" s="33" t="n">
        <v>2089258.073689816</v>
      </c>
      <c r="N346" s="33" t="n">
        <v>466746</v>
      </c>
      <c r="O346" s="34" t="n">
        <v>0</v>
      </c>
      <c r="P346" s="34" t="n">
        <v>0.0155482916094154</v>
      </c>
      <c r="Q346" s="34" t="n">
        <v>0.0003530684847753</v>
      </c>
      <c r="R346" s="31" t="n">
        <v>1680</v>
      </c>
      <c r="S346" s="31" t="n">
        <v>200</v>
      </c>
      <c r="T346" s="31" t="inlineStr">
        <is>
          <t>U</t>
        </is>
      </c>
      <c r="U346" s="31" t="inlineStr">
        <is>
          <t>Balanced</t>
        </is>
      </c>
      <c r="V346" s="31" t="inlineStr">
        <is>
          <t>NEW DEVELOPMENT RESULT</t>
        </is>
      </c>
      <c r="W346" s="31" t="n">
        <v>0.0007038621077499</v>
      </c>
    </row>
    <row r="347" ht="24" customHeight="1">
      <c r="A347" s="31" t="inlineStr">
        <is>
          <t>D019__TECO15__8101</t>
        </is>
      </c>
      <c r="B347" s="31" t="inlineStr">
        <is>
          <t>D019</t>
        </is>
      </c>
      <c r="C347" s="31" t="inlineStr">
        <is>
          <t>TECO15</t>
        </is>
      </c>
      <c r="D347" s="31" t="n">
        <v>8101</v>
      </c>
      <c r="E347" s="31" t="n">
        <v>876</v>
      </c>
      <c r="F347" s="33" t="n">
        <v>1409.590182648402</v>
      </c>
      <c r="G347" s="33" t="n">
        <v>2155.494588134603</v>
      </c>
      <c r="H347" s="33" t="n">
        <v>3203.720000000001</v>
      </c>
      <c r="I347" s="33" t="n">
        <v>2003.5</v>
      </c>
      <c r="J347" s="33" t="n">
        <v>684.5856164383562</v>
      </c>
      <c r="K347" s="33" t="n">
        <v>236.9867724867725</v>
      </c>
      <c r="L347" s="33" t="n">
        <v>578.6863631529501</v>
      </c>
      <c r="M347" s="33" t="n">
        <v>2106956.704477726</v>
      </c>
      <c r="N347" s="33" t="n">
        <v>481832</v>
      </c>
      <c r="O347" s="34" t="n">
        <v>0</v>
      </c>
      <c r="P347" s="34" t="n">
        <v>0.0145060347342963</v>
      </c>
      <c r="Q347" s="34" t="n">
        <v>0.0017784039108109</v>
      </c>
      <c r="R347" s="31" t="n">
        <v>1680</v>
      </c>
      <c r="S347" s="31" t="n">
        <v>200</v>
      </c>
      <c r="T347" s="31" t="inlineStr">
        <is>
          <t>U</t>
        </is>
      </c>
      <c r="U347" s="31" t="inlineStr">
        <is>
          <t>Balanced</t>
        </is>
      </c>
      <c r="V347" s="31" t="inlineStr">
        <is>
          <t>NEW DEVELOPMENT RESULT</t>
        </is>
      </c>
      <c r="W347" s="31" t="n">
        <v>0.0006897155304282999</v>
      </c>
    </row>
    <row r="348" ht="24" customHeight="1">
      <c r="A348" s="31" t="inlineStr">
        <is>
          <t>D019__TECO15__8102</t>
        </is>
      </c>
      <c r="B348" s="31" t="inlineStr">
        <is>
          <t>D019</t>
        </is>
      </c>
      <c r="C348" s="31" t="inlineStr">
        <is>
          <t>TECO15</t>
        </is>
      </c>
      <c r="D348" s="31" t="n">
        <v>8102</v>
      </c>
      <c r="E348" s="31" t="n">
        <v>906</v>
      </c>
      <c r="F348" s="33" t="n">
        <v>1386.082781456954</v>
      </c>
      <c r="G348" s="33" t="n">
        <v>2153.771022081836</v>
      </c>
      <c r="H348" s="33" t="n">
        <v>3203.72</v>
      </c>
      <c r="I348" s="33" t="n">
        <v>2027</v>
      </c>
      <c r="J348" s="33" t="n">
        <v>661.8520971302428</v>
      </c>
      <c r="K348" s="33" t="n">
        <v>238.7777777777778</v>
      </c>
      <c r="L348" s="33" t="n">
        <v>583.9838383188488</v>
      </c>
      <c r="M348" s="33" t="n">
        <v>2177318.291435537</v>
      </c>
      <c r="N348" s="33" t="n">
        <v>474374</v>
      </c>
      <c r="O348" s="34" t="n">
        <v>0</v>
      </c>
      <c r="P348" s="34" t="n">
        <v>0.0225603535823422</v>
      </c>
      <c r="Q348" s="34" t="n">
        <v>-0.0072890209881627</v>
      </c>
      <c r="R348" s="31" t="n">
        <v>1680</v>
      </c>
      <c r="S348" s="31" t="n">
        <v>200</v>
      </c>
      <c r="T348" s="31" t="inlineStr">
        <is>
          <t>U</t>
        </is>
      </c>
      <c r="U348" s="31" t="inlineStr">
        <is>
          <t>Balanced</t>
        </is>
      </c>
      <c r="V348" s="31" t="inlineStr">
        <is>
          <t>NEW DEVELOPMENT RESULT</t>
        </is>
      </c>
      <c r="W348" s="31" t="n">
        <v>0.0007034392265704</v>
      </c>
    </row>
    <row r="349" ht="24" customHeight="1">
      <c r="A349" s="31" t="inlineStr">
        <is>
          <t>D019__TECO15__8103</t>
        </is>
      </c>
      <c r="B349" s="31" t="inlineStr">
        <is>
          <t>D019</t>
        </is>
      </c>
      <c r="C349" s="31" t="inlineStr">
        <is>
          <t>TECO15</t>
        </is>
      </c>
      <c r="D349" s="31" t="n">
        <v>8103</v>
      </c>
      <c r="E349" s="31" t="n">
        <v>862</v>
      </c>
      <c r="F349" s="33" t="n">
        <v>1318.317865429234</v>
      </c>
      <c r="G349" s="33" t="n">
        <v>2155.62009480528</v>
      </c>
      <c r="H349" s="33" t="n">
        <v>3203.720000000001</v>
      </c>
      <c r="I349" s="33" t="n">
        <v>1931</v>
      </c>
      <c r="J349" s="33" t="n">
        <v>593.4106728538283</v>
      </c>
      <c r="K349" s="33" t="n">
        <v>237.0275689223058</v>
      </c>
      <c r="L349" s="33" t="n">
        <v>579.2319598187086</v>
      </c>
      <c r="M349" s="33" t="n">
        <v>2089258.073689816</v>
      </c>
      <c r="N349" s="33" t="n">
        <v>466746</v>
      </c>
      <c r="O349" s="34" t="n">
        <v>0</v>
      </c>
      <c r="P349" s="34" t="n">
        <v>0.0155482916094154</v>
      </c>
      <c r="Q349" s="34" t="n">
        <v>0.0003530684847753</v>
      </c>
      <c r="R349" s="31" t="n">
        <v>1680</v>
      </c>
      <c r="S349" s="31" t="n">
        <v>200</v>
      </c>
      <c r="T349" s="31" t="inlineStr">
        <is>
          <t>U</t>
        </is>
      </c>
      <c r="U349" s="31" t="inlineStr">
        <is>
          <t>Balanced</t>
        </is>
      </c>
      <c r="V349" s="31" t="inlineStr">
        <is>
          <t>NEW DEVELOPMENT RESULT</t>
        </is>
      </c>
      <c r="W349" s="31" t="n">
        <v>0.0007038621077499</v>
      </c>
    </row>
    <row r="350" ht="24" customHeight="1">
      <c r="A350" s="31" t="inlineStr">
        <is>
          <t>D020__SP__8101</t>
        </is>
      </c>
      <c r="B350" s="31" t="inlineStr">
        <is>
          <t>D020</t>
        </is>
      </c>
      <c r="C350" s="31" t="inlineStr">
        <is>
          <t>SP</t>
        </is>
      </c>
      <c r="D350" s="31" t="n">
        <v>8101</v>
      </c>
      <c r="E350" s="31" t="n">
        <v>876</v>
      </c>
      <c r="F350" s="33" t="n">
        <v>757.7134703196347</v>
      </c>
      <c r="G350" s="33" t="n">
        <v>1527.392622806555</v>
      </c>
      <c r="H350" s="33" t="n">
        <v>3203.720000000001</v>
      </c>
      <c r="I350" s="33" t="n">
        <v>1019.25</v>
      </c>
      <c r="J350" s="33" t="n">
        <v>212.2865296803653</v>
      </c>
      <c r="K350" s="33" t="n">
        <v>246.9867724867725</v>
      </c>
      <c r="L350" s="33" t="n">
        <v>607.6499770611385</v>
      </c>
      <c r="M350" s="33" t="n">
        <v>1567687.628907653</v>
      </c>
      <c r="N350" s="33" t="n">
        <v>260753</v>
      </c>
      <c r="O350" s="34" t="n">
        <v>0</v>
      </c>
      <c r="P350" s="34" t="n">
        <v>0.1255857730792043</v>
      </c>
      <c r="Q350" s="34" t="n">
        <v>-0.0014221670291199</v>
      </c>
      <c r="R350" s="31" t="n">
        <v>1680</v>
      </c>
      <c r="S350" s="31" t="n">
        <v>200</v>
      </c>
      <c r="T350" s="31" t="inlineStr">
        <is>
          <t>U</t>
        </is>
      </c>
      <c r="U350" s="31" t="inlineStr">
        <is>
          <t>Arterial</t>
        </is>
      </c>
      <c r="V350" s="31" t="inlineStr">
        <is>
          <t>NEW DEVELOPMENT RESULT</t>
        </is>
      </c>
      <c r="W350" s="31" t="n">
        <v>0.0009453111262857</v>
      </c>
    </row>
    <row r="351" ht="24" customHeight="1">
      <c r="A351" s="31" t="inlineStr">
        <is>
          <t>D020__SP__8102</t>
        </is>
      </c>
      <c r="B351" s="31" t="inlineStr">
        <is>
          <t>D020</t>
        </is>
      </c>
      <c r="C351" s="31" t="inlineStr">
        <is>
          <t>SP</t>
        </is>
      </c>
      <c r="D351" s="31" t="n">
        <v>8102</v>
      </c>
      <c r="E351" s="31" t="n">
        <v>906</v>
      </c>
      <c r="F351" s="33" t="n">
        <v>739.6578366445916</v>
      </c>
      <c r="G351" s="33" t="n">
        <v>1506.275796732586</v>
      </c>
      <c r="H351" s="33" t="n">
        <v>3203.72</v>
      </c>
      <c r="I351" s="33" t="n">
        <v>1041</v>
      </c>
      <c r="J351" s="33" t="n">
        <v>203.7969094922737</v>
      </c>
      <c r="K351" s="33" t="n">
        <v>249.0180878552972</v>
      </c>
      <c r="L351" s="33" t="n">
        <v>613.1871982528231</v>
      </c>
      <c r="M351" s="33" t="n">
        <v>1601989.317563566</v>
      </c>
      <c r="N351" s="33" t="n">
        <v>254540</v>
      </c>
      <c r="O351" s="34" t="n">
        <v>0</v>
      </c>
      <c r="P351" s="34" t="n">
        <v>0.1455060656459473</v>
      </c>
      <c r="Q351" s="34" t="n">
        <v>-0.0104847858164996</v>
      </c>
      <c r="R351" s="31" t="n">
        <v>1680</v>
      </c>
      <c r="S351" s="31" t="n">
        <v>200</v>
      </c>
      <c r="T351" s="31" t="inlineStr">
        <is>
          <t>U</t>
        </is>
      </c>
      <c r="U351" s="31" t="inlineStr">
        <is>
          <t>Arterial</t>
        </is>
      </c>
      <c r="V351" s="31" t="inlineStr">
        <is>
          <t>NEW DEVELOPMENT RESULT</t>
        </is>
      </c>
      <c r="W351" s="31" t="n">
        <v>0.0009738550873646</v>
      </c>
    </row>
    <row r="352" ht="24" customHeight="1">
      <c r="A352" s="31" t="inlineStr">
        <is>
          <t>D020__SP__8103</t>
        </is>
      </c>
      <c r="B352" s="31" t="inlineStr">
        <is>
          <t>D020</t>
        </is>
      </c>
      <c r="C352" s="31" t="inlineStr">
        <is>
          <t>SP</t>
        </is>
      </c>
      <c r="D352" s="31" t="n">
        <v>8103</v>
      </c>
      <c r="E352" s="31" t="n">
        <v>862</v>
      </c>
      <c r="F352" s="33" t="n">
        <v>663.677494199536</v>
      </c>
      <c r="G352" s="33" t="n">
        <v>1489.703214445407</v>
      </c>
      <c r="H352" s="33" t="n">
        <v>3203.720000000001</v>
      </c>
      <c r="I352" s="33" t="n">
        <v>953.95</v>
      </c>
      <c r="J352" s="33" t="n">
        <v>133.4338747099768</v>
      </c>
      <c r="K352" s="33" t="n">
        <v>247.0275689223058</v>
      </c>
      <c r="L352" s="33" t="n">
        <v>607.6764235974201</v>
      </c>
      <c r="M352" s="33" t="n">
        <v>1526587.063867311</v>
      </c>
      <c r="N352" s="33" t="n">
        <v>248772</v>
      </c>
      <c r="O352" s="34" t="n">
        <v>0</v>
      </c>
      <c r="P352" s="34" t="n">
        <v>0.1207637701239174</v>
      </c>
      <c r="Q352" s="34" t="n">
        <v>-0.001432813203482</v>
      </c>
      <c r="R352" s="31" t="n">
        <v>1680</v>
      </c>
      <c r="S352" s="31" t="n">
        <v>200</v>
      </c>
      <c r="T352" s="31" t="inlineStr">
        <is>
          <t>U</t>
        </is>
      </c>
      <c r="U352" s="31" t="inlineStr">
        <is>
          <t>Arterial</t>
        </is>
      </c>
      <c r="V352" s="31" t="inlineStr">
        <is>
          <t>NEW DEVELOPMENT RESULT</t>
        </is>
      </c>
      <c r="W352" s="31" t="n">
        <v>0.0009785446079015</v>
      </c>
    </row>
    <row r="353" ht="24" customHeight="1">
      <c r="A353" s="31" t="inlineStr">
        <is>
          <t>D020__DTT__8101</t>
        </is>
      </c>
      <c r="B353" s="31" t="inlineStr">
        <is>
          <t>D020</t>
        </is>
      </c>
      <c r="C353" s="31" t="inlineStr">
        <is>
          <t>DTT</t>
        </is>
      </c>
      <c r="D353" s="31" t="n">
        <v>8101</v>
      </c>
      <c r="E353" s="31" t="n">
        <v>876</v>
      </c>
      <c r="F353" s="33" t="n">
        <v>482.9200913242009</v>
      </c>
      <c r="G353" s="33" t="n">
        <v>1345.471554477616</v>
      </c>
      <c r="H353" s="33" t="n">
        <v>3381.340091324201</v>
      </c>
      <c r="I353" s="33" t="n">
        <v>905</v>
      </c>
      <c r="J353" s="33" t="n">
        <v>2.713470319634703</v>
      </c>
      <c r="K353" s="33" t="n">
        <v>246.9867724867725</v>
      </c>
      <c r="L353" s="33" t="n">
        <v>607.6499770611385</v>
      </c>
      <c r="M353" s="33" t="n">
        <v>1408324.773051502</v>
      </c>
      <c r="N353" s="33" t="n">
        <v>243574</v>
      </c>
      <c r="O353" s="34" t="n">
        <v>0.2856605193827625</v>
      </c>
      <c r="P353" s="34" t="n">
        <v>0.1924575090147657</v>
      </c>
      <c r="Q353" s="34" t="n">
        <v>-0.0276916051076862</v>
      </c>
      <c r="R353" s="31" t="n">
        <v>1680</v>
      </c>
      <c r="S353" s="31" t="n">
        <v>200</v>
      </c>
      <c r="T353" s="31" t="inlineStr">
        <is>
          <t>U</t>
        </is>
      </c>
      <c r="U353" s="31" t="inlineStr">
        <is>
          <t>Arterial</t>
        </is>
      </c>
      <c r="V353" s="31" t="inlineStr">
        <is>
          <t>NEW DEVELOPMENT RESULT</t>
        </is>
      </c>
      <c r="W353" s="31" t="n">
        <v>0.0009836321187112001</v>
      </c>
    </row>
    <row r="354" ht="24" customHeight="1">
      <c r="A354" s="31" t="inlineStr">
        <is>
          <t>D020__DTT__8102</t>
        </is>
      </c>
      <c r="B354" s="31" t="inlineStr">
        <is>
          <t>D020</t>
        </is>
      </c>
      <c r="C354" s="31" t="inlineStr">
        <is>
          <t>DTT</t>
        </is>
      </c>
      <c r="D354" s="31" t="n">
        <v>8102</v>
      </c>
      <c r="E354" s="31" t="n">
        <v>906</v>
      </c>
      <c r="F354" s="33" t="n">
        <v>490.0022075055188</v>
      </c>
      <c r="G354" s="33" t="n">
        <v>1343.645380599708</v>
      </c>
      <c r="H354" s="33" t="n">
        <v>3400.267604856512</v>
      </c>
      <c r="I354" s="33" t="n">
        <v>906.5</v>
      </c>
      <c r="J354" s="33" t="n">
        <v>6.855408388520972</v>
      </c>
      <c r="K354" s="33" t="n">
        <v>249.0180878552972</v>
      </c>
      <c r="L354" s="33" t="n">
        <v>613.1871982528231</v>
      </c>
      <c r="M354" s="33" t="n">
        <v>1454646.160547178</v>
      </c>
      <c r="N354" s="33" t="n">
        <v>235352</v>
      </c>
      <c r="O354" s="34" t="n">
        <v>0.3264793032234893</v>
      </c>
      <c r="P354" s="34" t="n">
        <v>0.2201631246735139</v>
      </c>
      <c r="Q354" s="34" t="n">
        <v>-0.0412785479875108</v>
      </c>
      <c r="R354" s="31" t="n">
        <v>1680</v>
      </c>
      <c r="S354" s="31" t="n">
        <v>200</v>
      </c>
      <c r="T354" s="31" t="inlineStr">
        <is>
          <t>U</t>
        </is>
      </c>
      <c r="U354" s="31" t="inlineStr">
        <is>
          <t>Arterial</t>
        </is>
      </c>
      <c r="V354" s="31" t="inlineStr">
        <is>
          <t>NEW DEVELOPMENT RESULT</t>
        </is>
      </c>
      <c r="W354" s="31" t="n">
        <v>0.0010104933918708</v>
      </c>
    </row>
    <row r="355" ht="24" customHeight="1">
      <c r="A355" s="31" t="inlineStr">
        <is>
          <t>D020__DTT__8103</t>
        </is>
      </c>
      <c r="B355" s="31" t="inlineStr">
        <is>
          <t>D020</t>
        </is>
      </c>
      <c r="C355" s="31" t="inlineStr">
        <is>
          <t>DTT</t>
        </is>
      </c>
      <c r="D355" s="31" t="n">
        <v>8103</v>
      </c>
      <c r="E355" s="31" t="n">
        <v>862</v>
      </c>
      <c r="F355" s="33" t="n">
        <v>435.6461716937355</v>
      </c>
      <c r="G355" s="33" t="n">
        <v>1185.933895775606</v>
      </c>
      <c r="H355" s="33" t="n">
        <v>3413.729686774942</v>
      </c>
      <c r="I355" s="33" t="n">
        <v>810.8499999999998</v>
      </c>
      <c r="J355" s="33" t="n">
        <v>1.801624129930394</v>
      </c>
      <c r="K355" s="33" t="n">
        <v>247.0275689223058</v>
      </c>
      <c r="L355" s="33" t="n">
        <v>607.6764235974201</v>
      </c>
      <c r="M355" s="33" t="n">
        <v>1264737.911173943</v>
      </c>
      <c r="N355" s="33" t="n">
        <v>197814</v>
      </c>
      <c r="O355" s="34" t="n">
        <v>0.3364765194659695</v>
      </c>
      <c r="P355" s="34" t="n">
        <v>0.200026719908027</v>
      </c>
      <c r="Q355" s="34" t="n">
        <v>-0.0238303880913234</v>
      </c>
      <c r="R355" s="31" t="n">
        <v>1680</v>
      </c>
      <c r="S355" s="31" t="n">
        <v>200</v>
      </c>
      <c r="T355" s="31" t="inlineStr">
        <is>
          <t>U</t>
        </is>
      </c>
      <c r="U355" s="31" t="inlineStr">
        <is>
          <t>Arterial</t>
        </is>
      </c>
      <c r="V355" s="31" t="inlineStr">
        <is>
          <t>NEW DEVELOPMENT RESULT</t>
        </is>
      </c>
      <c r="W355" s="31" t="n">
        <v>0.0010981696437901</v>
      </c>
    </row>
    <row r="356" ht="24" customHeight="1">
      <c r="A356" s="31" t="inlineStr">
        <is>
          <t>D020__ECO__8101</t>
        </is>
      </c>
      <c r="B356" s="31" t="inlineStr">
        <is>
          <t>D020</t>
        </is>
      </c>
      <c r="C356" s="31" t="inlineStr">
        <is>
          <t>ECO</t>
        </is>
      </c>
      <c r="D356" s="31" t="n">
        <v>8101</v>
      </c>
      <c r="E356" s="31" t="n">
        <v>876</v>
      </c>
      <c r="F356" s="33" t="n">
        <v>757.7134703196347</v>
      </c>
      <c r="G356" s="33" t="n">
        <v>1527.392622806555</v>
      </c>
      <c r="H356" s="33" t="n">
        <v>3203.720000000001</v>
      </c>
      <c r="I356" s="33" t="n">
        <v>1019.25</v>
      </c>
      <c r="J356" s="33" t="n">
        <v>212.2865296803653</v>
      </c>
      <c r="K356" s="33" t="n">
        <v>246.9867724867725</v>
      </c>
      <c r="L356" s="33" t="n">
        <v>607.6499770611385</v>
      </c>
      <c r="M356" s="33" t="n">
        <v>1567687.628907653</v>
      </c>
      <c r="N356" s="33" t="n">
        <v>260753</v>
      </c>
      <c r="O356" s="34" t="n">
        <v>0</v>
      </c>
      <c r="P356" s="34" t="n">
        <v>0.1255857730792043</v>
      </c>
      <c r="Q356" s="34" t="n">
        <v>-0.0014221670291199</v>
      </c>
      <c r="R356" s="31" t="n">
        <v>1680</v>
      </c>
      <c r="S356" s="31" t="n">
        <v>200</v>
      </c>
      <c r="T356" s="31" t="inlineStr">
        <is>
          <t>U</t>
        </is>
      </c>
      <c r="U356" s="31" t="inlineStr">
        <is>
          <t>Arterial</t>
        </is>
      </c>
      <c r="V356" s="31" t="inlineStr">
        <is>
          <t>NEW DEVELOPMENT RESULT</t>
        </is>
      </c>
      <c r="W356" s="31" t="n">
        <v>0.0009453111262857</v>
      </c>
    </row>
    <row r="357" ht="24" customHeight="1">
      <c r="A357" s="31" t="inlineStr">
        <is>
          <t>D020__ECO__8102</t>
        </is>
      </c>
      <c r="B357" s="31" t="inlineStr">
        <is>
          <t>D020</t>
        </is>
      </c>
      <c r="C357" s="31" t="inlineStr">
        <is>
          <t>ECO</t>
        </is>
      </c>
      <c r="D357" s="31" t="n">
        <v>8102</v>
      </c>
      <c r="E357" s="31" t="n">
        <v>906</v>
      </c>
      <c r="F357" s="33" t="n">
        <v>739.6578366445916</v>
      </c>
      <c r="G357" s="33" t="n">
        <v>1506.275796732586</v>
      </c>
      <c r="H357" s="33" t="n">
        <v>3203.72</v>
      </c>
      <c r="I357" s="33" t="n">
        <v>1041</v>
      </c>
      <c r="J357" s="33" t="n">
        <v>203.7969094922737</v>
      </c>
      <c r="K357" s="33" t="n">
        <v>249.0180878552972</v>
      </c>
      <c r="L357" s="33" t="n">
        <v>613.1871982528231</v>
      </c>
      <c r="M357" s="33" t="n">
        <v>1601989.317563566</v>
      </c>
      <c r="N357" s="33" t="n">
        <v>254540</v>
      </c>
      <c r="O357" s="34" t="n">
        <v>0</v>
      </c>
      <c r="P357" s="34" t="n">
        <v>0.1455060656459473</v>
      </c>
      <c r="Q357" s="34" t="n">
        <v>-0.0104847858164996</v>
      </c>
      <c r="R357" s="31" t="n">
        <v>1680</v>
      </c>
      <c r="S357" s="31" t="n">
        <v>200</v>
      </c>
      <c r="T357" s="31" t="inlineStr">
        <is>
          <t>U</t>
        </is>
      </c>
      <c r="U357" s="31" t="inlineStr">
        <is>
          <t>Arterial</t>
        </is>
      </c>
      <c r="V357" s="31" t="inlineStr">
        <is>
          <t>NEW DEVELOPMENT RESULT</t>
        </is>
      </c>
      <c r="W357" s="31" t="n">
        <v>0.0009738550873646</v>
      </c>
    </row>
    <row r="358" ht="24" customHeight="1">
      <c r="A358" s="31" t="inlineStr">
        <is>
          <t>D020__ECO__8103</t>
        </is>
      </c>
      <c r="B358" s="31" t="inlineStr">
        <is>
          <t>D020</t>
        </is>
      </c>
      <c r="C358" s="31" t="inlineStr">
        <is>
          <t>ECO</t>
        </is>
      </c>
      <c r="D358" s="31" t="n">
        <v>8103</v>
      </c>
      <c r="E358" s="31" t="n">
        <v>862</v>
      </c>
      <c r="F358" s="33" t="n">
        <v>663.677494199536</v>
      </c>
      <c r="G358" s="33" t="n">
        <v>1489.703214445407</v>
      </c>
      <c r="H358" s="33" t="n">
        <v>3203.720000000001</v>
      </c>
      <c r="I358" s="33" t="n">
        <v>953.95</v>
      </c>
      <c r="J358" s="33" t="n">
        <v>133.4338747099768</v>
      </c>
      <c r="K358" s="33" t="n">
        <v>247.0275689223058</v>
      </c>
      <c r="L358" s="33" t="n">
        <v>607.6764235974201</v>
      </c>
      <c r="M358" s="33" t="n">
        <v>1526587.063867311</v>
      </c>
      <c r="N358" s="33" t="n">
        <v>248772</v>
      </c>
      <c r="O358" s="34" t="n">
        <v>0</v>
      </c>
      <c r="P358" s="34" t="n">
        <v>0.1207637701239174</v>
      </c>
      <c r="Q358" s="34" t="n">
        <v>-0.001432813203482</v>
      </c>
      <c r="R358" s="31" t="n">
        <v>1680</v>
      </c>
      <c r="S358" s="31" t="n">
        <v>200</v>
      </c>
      <c r="T358" s="31" t="inlineStr">
        <is>
          <t>U</t>
        </is>
      </c>
      <c r="U358" s="31" t="inlineStr">
        <is>
          <t>Arterial</t>
        </is>
      </c>
      <c r="V358" s="31" t="inlineStr">
        <is>
          <t>NEW DEVELOPMENT RESULT</t>
        </is>
      </c>
      <c r="W358" s="31" t="n">
        <v>0.0009785446079015</v>
      </c>
    </row>
    <row r="359" ht="24" customHeight="1">
      <c r="A359" s="31" t="inlineStr">
        <is>
          <t>D020__TECO05__8101</t>
        </is>
      </c>
      <c r="B359" s="31" t="inlineStr">
        <is>
          <t>D020</t>
        </is>
      </c>
      <c r="C359" s="31" t="inlineStr">
        <is>
          <t>TECO05</t>
        </is>
      </c>
      <c r="D359" s="31" t="n">
        <v>8101</v>
      </c>
      <c r="E359" s="31" t="n">
        <v>876</v>
      </c>
      <c r="F359" s="33" t="n">
        <v>757.7134703196347</v>
      </c>
      <c r="G359" s="33" t="n">
        <v>1527.392622806555</v>
      </c>
      <c r="H359" s="33" t="n">
        <v>3203.720000000001</v>
      </c>
      <c r="I359" s="33" t="n">
        <v>1019.25</v>
      </c>
      <c r="J359" s="33" t="n">
        <v>212.2865296803653</v>
      </c>
      <c r="K359" s="33" t="n">
        <v>246.9867724867725</v>
      </c>
      <c r="L359" s="33" t="n">
        <v>607.6499770611385</v>
      </c>
      <c r="M359" s="33" t="n">
        <v>1567687.628907653</v>
      </c>
      <c r="N359" s="33" t="n">
        <v>260753</v>
      </c>
      <c r="O359" s="34" t="n">
        <v>0</v>
      </c>
      <c r="P359" s="34" t="n">
        <v>0.1255857730792043</v>
      </c>
      <c r="Q359" s="34" t="n">
        <v>-0.0014221670291199</v>
      </c>
      <c r="R359" s="31" t="n">
        <v>1680</v>
      </c>
      <c r="S359" s="31" t="n">
        <v>200</v>
      </c>
      <c r="T359" s="31" t="inlineStr">
        <is>
          <t>U</t>
        </is>
      </c>
      <c r="U359" s="31" t="inlineStr">
        <is>
          <t>Arterial</t>
        </is>
      </c>
      <c r="V359" s="31" t="inlineStr">
        <is>
          <t>NEW DEVELOPMENT RESULT</t>
        </is>
      </c>
      <c r="W359" s="31" t="n">
        <v>0.0009453111262857</v>
      </c>
    </row>
    <row r="360" ht="24" customHeight="1">
      <c r="A360" s="31" t="inlineStr">
        <is>
          <t>D020__TECO05__8102</t>
        </is>
      </c>
      <c r="B360" s="31" t="inlineStr">
        <is>
          <t>D020</t>
        </is>
      </c>
      <c r="C360" s="31" t="inlineStr">
        <is>
          <t>TECO05</t>
        </is>
      </c>
      <c r="D360" s="31" t="n">
        <v>8102</v>
      </c>
      <c r="E360" s="31" t="n">
        <v>906</v>
      </c>
      <c r="F360" s="33" t="n">
        <v>739.6578366445916</v>
      </c>
      <c r="G360" s="33" t="n">
        <v>1506.275796732586</v>
      </c>
      <c r="H360" s="33" t="n">
        <v>3203.72</v>
      </c>
      <c r="I360" s="33" t="n">
        <v>1041</v>
      </c>
      <c r="J360" s="33" t="n">
        <v>203.7969094922737</v>
      </c>
      <c r="K360" s="33" t="n">
        <v>249.0180878552972</v>
      </c>
      <c r="L360" s="33" t="n">
        <v>613.1871982528231</v>
      </c>
      <c r="M360" s="33" t="n">
        <v>1601989.317563566</v>
      </c>
      <c r="N360" s="33" t="n">
        <v>254540</v>
      </c>
      <c r="O360" s="34" t="n">
        <v>0</v>
      </c>
      <c r="P360" s="34" t="n">
        <v>0.1455060656459473</v>
      </c>
      <c r="Q360" s="34" t="n">
        <v>-0.0104847858164996</v>
      </c>
      <c r="R360" s="31" t="n">
        <v>1680</v>
      </c>
      <c r="S360" s="31" t="n">
        <v>200</v>
      </c>
      <c r="T360" s="31" t="inlineStr">
        <is>
          <t>U</t>
        </is>
      </c>
      <c r="U360" s="31" t="inlineStr">
        <is>
          <t>Arterial</t>
        </is>
      </c>
      <c r="V360" s="31" t="inlineStr">
        <is>
          <t>NEW DEVELOPMENT RESULT</t>
        </is>
      </c>
      <c r="W360" s="31" t="n">
        <v>0.0009738550873646</v>
      </c>
    </row>
    <row r="361" ht="24" customHeight="1">
      <c r="A361" s="31" t="inlineStr">
        <is>
          <t>D020__TECO05__8103</t>
        </is>
      </c>
      <c r="B361" s="31" t="inlineStr">
        <is>
          <t>D020</t>
        </is>
      </c>
      <c r="C361" s="31" t="inlineStr">
        <is>
          <t>TECO05</t>
        </is>
      </c>
      <c r="D361" s="31" t="n">
        <v>8103</v>
      </c>
      <c r="E361" s="31" t="n">
        <v>862</v>
      </c>
      <c r="F361" s="33" t="n">
        <v>663.677494199536</v>
      </c>
      <c r="G361" s="33" t="n">
        <v>1489.703214445407</v>
      </c>
      <c r="H361" s="33" t="n">
        <v>3203.720000000001</v>
      </c>
      <c r="I361" s="33" t="n">
        <v>953.95</v>
      </c>
      <c r="J361" s="33" t="n">
        <v>133.4338747099768</v>
      </c>
      <c r="K361" s="33" t="n">
        <v>247.0275689223058</v>
      </c>
      <c r="L361" s="33" t="n">
        <v>607.6764235974201</v>
      </c>
      <c r="M361" s="33" t="n">
        <v>1526587.063867311</v>
      </c>
      <c r="N361" s="33" t="n">
        <v>248772</v>
      </c>
      <c r="O361" s="34" t="n">
        <v>0</v>
      </c>
      <c r="P361" s="34" t="n">
        <v>0.1207637701239174</v>
      </c>
      <c r="Q361" s="34" t="n">
        <v>-0.001432813203482</v>
      </c>
      <c r="R361" s="31" t="n">
        <v>1680</v>
      </c>
      <c r="S361" s="31" t="n">
        <v>200</v>
      </c>
      <c r="T361" s="31" t="inlineStr">
        <is>
          <t>U</t>
        </is>
      </c>
      <c r="U361" s="31" t="inlineStr">
        <is>
          <t>Arterial</t>
        </is>
      </c>
      <c r="V361" s="31" t="inlineStr">
        <is>
          <t>NEW DEVELOPMENT RESULT</t>
        </is>
      </c>
      <c r="W361" s="31" t="n">
        <v>0.0009785446079015</v>
      </c>
    </row>
    <row r="362" ht="24" customHeight="1">
      <c r="A362" s="31" t="inlineStr">
        <is>
          <t>D020__TECO10__8101</t>
        </is>
      </c>
      <c r="B362" s="31" t="inlineStr">
        <is>
          <t>D020</t>
        </is>
      </c>
      <c r="C362" s="31" t="inlineStr">
        <is>
          <t>TECO10</t>
        </is>
      </c>
      <c r="D362" s="31" t="n">
        <v>8101</v>
      </c>
      <c r="E362" s="31" t="n">
        <v>876</v>
      </c>
      <c r="F362" s="33" t="n">
        <v>757.7134703196347</v>
      </c>
      <c r="G362" s="33" t="n">
        <v>1527.392622806555</v>
      </c>
      <c r="H362" s="33" t="n">
        <v>3203.720000000001</v>
      </c>
      <c r="I362" s="33" t="n">
        <v>1019.25</v>
      </c>
      <c r="J362" s="33" t="n">
        <v>212.2865296803653</v>
      </c>
      <c r="K362" s="33" t="n">
        <v>246.9867724867725</v>
      </c>
      <c r="L362" s="33" t="n">
        <v>607.6499770611385</v>
      </c>
      <c r="M362" s="33" t="n">
        <v>1567687.628907653</v>
      </c>
      <c r="N362" s="33" t="n">
        <v>260753</v>
      </c>
      <c r="O362" s="34" t="n">
        <v>0</v>
      </c>
      <c r="P362" s="34" t="n">
        <v>0.1255857730792043</v>
      </c>
      <c r="Q362" s="34" t="n">
        <v>-0.0014221670291199</v>
      </c>
      <c r="R362" s="31" t="n">
        <v>1680</v>
      </c>
      <c r="S362" s="31" t="n">
        <v>200</v>
      </c>
      <c r="T362" s="31" t="inlineStr">
        <is>
          <t>U</t>
        </is>
      </c>
      <c r="U362" s="31" t="inlineStr">
        <is>
          <t>Arterial</t>
        </is>
      </c>
      <c r="V362" s="31" t="inlineStr">
        <is>
          <t>NEW DEVELOPMENT RESULT</t>
        </is>
      </c>
      <c r="W362" s="31" t="n">
        <v>0.0009453111262857</v>
      </c>
    </row>
    <row r="363" ht="24" customHeight="1">
      <c r="A363" s="31" t="inlineStr">
        <is>
          <t>D020__TECO10__8102</t>
        </is>
      </c>
      <c r="B363" s="31" t="inlineStr">
        <is>
          <t>D020</t>
        </is>
      </c>
      <c r="C363" s="31" t="inlineStr">
        <is>
          <t>TECO10</t>
        </is>
      </c>
      <c r="D363" s="31" t="n">
        <v>8102</v>
      </c>
      <c r="E363" s="31" t="n">
        <v>906</v>
      </c>
      <c r="F363" s="33" t="n">
        <v>739.6578366445916</v>
      </c>
      <c r="G363" s="33" t="n">
        <v>1506.275796732586</v>
      </c>
      <c r="H363" s="33" t="n">
        <v>3203.72</v>
      </c>
      <c r="I363" s="33" t="n">
        <v>1041</v>
      </c>
      <c r="J363" s="33" t="n">
        <v>203.7969094922737</v>
      </c>
      <c r="K363" s="33" t="n">
        <v>249.0180878552972</v>
      </c>
      <c r="L363" s="33" t="n">
        <v>613.1871982528231</v>
      </c>
      <c r="M363" s="33" t="n">
        <v>1601989.317563566</v>
      </c>
      <c r="N363" s="33" t="n">
        <v>254540</v>
      </c>
      <c r="O363" s="34" t="n">
        <v>0</v>
      </c>
      <c r="P363" s="34" t="n">
        <v>0.1455060656459473</v>
      </c>
      <c r="Q363" s="34" t="n">
        <v>-0.0104847858164996</v>
      </c>
      <c r="R363" s="31" t="n">
        <v>1680</v>
      </c>
      <c r="S363" s="31" t="n">
        <v>200</v>
      </c>
      <c r="T363" s="31" t="inlineStr">
        <is>
          <t>U</t>
        </is>
      </c>
      <c r="U363" s="31" t="inlineStr">
        <is>
          <t>Arterial</t>
        </is>
      </c>
      <c r="V363" s="31" t="inlineStr">
        <is>
          <t>NEW DEVELOPMENT RESULT</t>
        </is>
      </c>
      <c r="W363" s="31" t="n">
        <v>0.0009738550873646</v>
      </c>
    </row>
    <row r="364" ht="24" customHeight="1">
      <c r="A364" s="31" t="inlineStr">
        <is>
          <t>D020__TECO10__8103</t>
        </is>
      </c>
      <c r="B364" s="31" t="inlineStr">
        <is>
          <t>D020</t>
        </is>
      </c>
      <c r="C364" s="31" t="inlineStr">
        <is>
          <t>TECO10</t>
        </is>
      </c>
      <c r="D364" s="31" t="n">
        <v>8103</v>
      </c>
      <c r="E364" s="31" t="n">
        <v>862</v>
      </c>
      <c r="F364" s="33" t="n">
        <v>663.677494199536</v>
      </c>
      <c r="G364" s="33" t="n">
        <v>1489.703214445407</v>
      </c>
      <c r="H364" s="33" t="n">
        <v>3203.720000000001</v>
      </c>
      <c r="I364" s="33" t="n">
        <v>953.95</v>
      </c>
      <c r="J364" s="33" t="n">
        <v>133.4338747099768</v>
      </c>
      <c r="K364" s="33" t="n">
        <v>247.0275689223058</v>
      </c>
      <c r="L364" s="33" t="n">
        <v>607.6764235974201</v>
      </c>
      <c r="M364" s="33" t="n">
        <v>1526587.063867311</v>
      </c>
      <c r="N364" s="33" t="n">
        <v>248772</v>
      </c>
      <c r="O364" s="34" t="n">
        <v>0</v>
      </c>
      <c r="P364" s="34" t="n">
        <v>0.1207637701239174</v>
      </c>
      <c r="Q364" s="34" t="n">
        <v>-0.001432813203482</v>
      </c>
      <c r="R364" s="31" t="n">
        <v>1680</v>
      </c>
      <c r="S364" s="31" t="n">
        <v>200</v>
      </c>
      <c r="T364" s="31" t="inlineStr">
        <is>
          <t>U</t>
        </is>
      </c>
      <c r="U364" s="31" t="inlineStr">
        <is>
          <t>Arterial</t>
        </is>
      </c>
      <c r="V364" s="31" t="inlineStr">
        <is>
          <t>NEW DEVELOPMENT RESULT</t>
        </is>
      </c>
      <c r="W364" s="31" t="n">
        <v>0.0009785446079015</v>
      </c>
    </row>
    <row r="365" ht="24" customHeight="1">
      <c r="A365" s="31" t="inlineStr">
        <is>
          <t>D020__TECO15__8101</t>
        </is>
      </c>
      <c r="B365" s="31" t="inlineStr">
        <is>
          <t>D020</t>
        </is>
      </c>
      <c r="C365" s="31" t="inlineStr">
        <is>
          <t>TECO15</t>
        </is>
      </c>
      <c r="D365" s="31" t="n">
        <v>8101</v>
      </c>
      <c r="E365" s="31" t="n">
        <v>876</v>
      </c>
      <c r="F365" s="33" t="n">
        <v>757.7134703196347</v>
      </c>
      <c r="G365" s="33" t="n">
        <v>1527.392622806555</v>
      </c>
      <c r="H365" s="33" t="n">
        <v>3203.720000000001</v>
      </c>
      <c r="I365" s="33" t="n">
        <v>1019.25</v>
      </c>
      <c r="J365" s="33" t="n">
        <v>212.2865296803653</v>
      </c>
      <c r="K365" s="33" t="n">
        <v>246.9867724867725</v>
      </c>
      <c r="L365" s="33" t="n">
        <v>607.6499770611385</v>
      </c>
      <c r="M365" s="33" t="n">
        <v>1567687.628907653</v>
      </c>
      <c r="N365" s="33" t="n">
        <v>260753</v>
      </c>
      <c r="O365" s="34" t="n">
        <v>0</v>
      </c>
      <c r="P365" s="34" t="n">
        <v>0.1255857730792043</v>
      </c>
      <c r="Q365" s="34" t="n">
        <v>-0.0014221670291199</v>
      </c>
      <c r="R365" s="31" t="n">
        <v>1680</v>
      </c>
      <c r="S365" s="31" t="n">
        <v>200</v>
      </c>
      <c r="T365" s="31" t="inlineStr">
        <is>
          <t>U</t>
        </is>
      </c>
      <c r="U365" s="31" t="inlineStr">
        <is>
          <t>Arterial</t>
        </is>
      </c>
      <c r="V365" s="31" t="inlineStr">
        <is>
          <t>NEW DEVELOPMENT RESULT</t>
        </is>
      </c>
      <c r="W365" s="31" t="n">
        <v>0.0009453111262857</v>
      </c>
    </row>
    <row r="366" ht="24" customHeight="1">
      <c r="A366" s="31" t="inlineStr">
        <is>
          <t>D020__TECO15__8102</t>
        </is>
      </c>
      <c r="B366" s="31" t="inlineStr">
        <is>
          <t>D020</t>
        </is>
      </c>
      <c r="C366" s="31" t="inlineStr">
        <is>
          <t>TECO15</t>
        </is>
      </c>
      <c r="D366" s="31" t="n">
        <v>8102</v>
      </c>
      <c r="E366" s="31" t="n">
        <v>906</v>
      </c>
      <c r="F366" s="33" t="n">
        <v>739.6578366445916</v>
      </c>
      <c r="G366" s="33" t="n">
        <v>1506.275796732586</v>
      </c>
      <c r="H366" s="33" t="n">
        <v>3203.72</v>
      </c>
      <c r="I366" s="33" t="n">
        <v>1041</v>
      </c>
      <c r="J366" s="33" t="n">
        <v>203.7969094922737</v>
      </c>
      <c r="K366" s="33" t="n">
        <v>249.0180878552972</v>
      </c>
      <c r="L366" s="33" t="n">
        <v>613.1871982528231</v>
      </c>
      <c r="M366" s="33" t="n">
        <v>1601989.317563566</v>
      </c>
      <c r="N366" s="33" t="n">
        <v>254540</v>
      </c>
      <c r="O366" s="34" t="n">
        <v>0</v>
      </c>
      <c r="P366" s="34" t="n">
        <v>0.1455060656459473</v>
      </c>
      <c r="Q366" s="34" t="n">
        <v>-0.0104847858164996</v>
      </c>
      <c r="R366" s="31" t="n">
        <v>1680</v>
      </c>
      <c r="S366" s="31" t="n">
        <v>200</v>
      </c>
      <c r="T366" s="31" t="inlineStr">
        <is>
          <t>U</t>
        </is>
      </c>
      <c r="U366" s="31" t="inlineStr">
        <is>
          <t>Arterial</t>
        </is>
      </c>
      <c r="V366" s="31" t="inlineStr">
        <is>
          <t>NEW DEVELOPMENT RESULT</t>
        </is>
      </c>
      <c r="W366" s="31" t="n">
        <v>0.0009738550873646</v>
      </c>
    </row>
    <row r="367" ht="24" customHeight="1">
      <c r="A367" s="31" t="inlineStr">
        <is>
          <t>D020__TECO15__8103</t>
        </is>
      </c>
      <c r="B367" s="31" t="inlineStr">
        <is>
          <t>D020</t>
        </is>
      </c>
      <c r="C367" s="31" t="inlineStr">
        <is>
          <t>TECO15</t>
        </is>
      </c>
      <c r="D367" s="31" t="n">
        <v>8103</v>
      </c>
      <c r="E367" s="31" t="n">
        <v>862</v>
      </c>
      <c r="F367" s="33" t="n">
        <v>663.677494199536</v>
      </c>
      <c r="G367" s="33" t="n">
        <v>1489.703214445407</v>
      </c>
      <c r="H367" s="33" t="n">
        <v>3203.720000000001</v>
      </c>
      <c r="I367" s="33" t="n">
        <v>953.95</v>
      </c>
      <c r="J367" s="33" t="n">
        <v>133.4338747099768</v>
      </c>
      <c r="K367" s="33" t="n">
        <v>247.0275689223058</v>
      </c>
      <c r="L367" s="33" t="n">
        <v>607.6764235974201</v>
      </c>
      <c r="M367" s="33" t="n">
        <v>1526587.063867311</v>
      </c>
      <c r="N367" s="33" t="n">
        <v>248772</v>
      </c>
      <c r="O367" s="34" t="n">
        <v>0</v>
      </c>
      <c r="P367" s="34" t="n">
        <v>0.1207637701239174</v>
      </c>
      <c r="Q367" s="34" t="n">
        <v>-0.001432813203482</v>
      </c>
      <c r="R367" s="31" t="n">
        <v>1680</v>
      </c>
      <c r="S367" s="31" t="n">
        <v>200</v>
      </c>
      <c r="T367" s="31" t="inlineStr">
        <is>
          <t>U</t>
        </is>
      </c>
      <c r="U367" s="31" t="inlineStr">
        <is>
          <t>Arterial</t>
        </is>
      </c>
      <c r="V367" s="31" t="inlineStr">
        <is>
          <t>NEW DEVELOPMENT RESULT</t>
        </is>
      </c>
      <c r="W367" s="31" t="n">
        <v>0.0009785446079015</v>
      </c>
    </row>
    <row r="368" ht="24" customHeight="1">
      <c r="A368" s="31" t="inlineStr">
        <is>
          <t>D021__SP__8101</t>
        </is>
      </c>
      <c r="B368" s="31" t="inlineStr">
        <is>
          <t>D021</t>
        </is>
      </c>
      <c r="C368" s="31" t="inlineStr">
        <is>
          <t>SP</t>
        </is>
      </c>
      <c r="D368" s="31" t="n">
        <v>8101</v>
      </c>
      <c r="E368" s="31" t="n">
        <v>876</v>
      </c>
      <c r="F368" s="33" t="n">
        <v>1621.401826484018</v>
      </c>
      <c r="G368" s="33" t="n">
        <v>2441.811006866119</v>
      </c>
      <c r="H368" s="33" t="n">
        <v>3203.720000000001</v>
      </c>
      <c r="I368" s="33" t="n">
        <v>2216.25</v>
      </c>
      <c r="J368" s="33" t="n">
        <v>810.2888127853881</v>
      </c>
      <c r="K368" s="33" t="n">
        <v>236.9867724867725</v>
      </c>
      <c r="L368" s="33" t="n">
        <v>578.6863631529501</v>
      </c>
      <c r="M368" s="33" t="n">
        <v>2357769.887286535</v>
      </c>
      <c r="N368" s="33" t="n">
        <v>578031</v>
      </c>
      <c r="O368" s="34" t="n">
        <v>0</v>
      </c>
      <c r="P368" s="34" t="n">
        <v>0.1491306725604191</v>
      </c>
      <c r="Q368" s="34" t="n">
        <v>0.07867004904436781</v>
      </c>
      <c r="R368" s="31" t="n">
        <v>1680</v>
      </c>
      <c r="S368" s="31" t="n">
        <v>200</v>
      </c>
      <c r="T368" s="31" t="inlineStr">
        <is>
          <t>C</t>
        </is>
      </c>
      <c r="U368" s="31" t="inlineStr">
        <is>
          <t>Balanced</t>
        </is>
      </c>
      <c r="V368" s="31" t="inlineStr">
        <is>
          <t>NEW DEVELOPMENT RESULT</t>
        </is>
      </c>
      <c r="W368" s="31" t="n">
        <v>0.000615140728063</v>
      </c>
    </row>
    <row r="369" ht="24" customHeight="1">
      <c r="A369" s="31" t="inlineStr">
        <is>
          <t>D021__SP__8102</t>
        </is>
      </c>
      <c r="B369" s="31" t="inlineStr">
        <is>
          <t>D021</t>
        </is>
      </c>
      <c r="C369" s="31" t="inlineStr">
        <is>
          <t>SP</t>
        </is>
      </c>
      <c r="D369" s="31" t="n">
        <v>8102</v>
      </c>
      <c r="E369" s="31" t="n">
        <v>906</v>
      </c>
      <c r="F369" s="33" t="n">
        <v>1597.786975717439</v>
      </c>
      <c r="G369" s="33" t="n">
        <v>2449.440088420768</v>
      </c>
      <c r="H369" s="33" t="n">
        <v>3203.72</v>
      </c>
      <c r="I369" s="33" t="n">
        <v>2240.5</v>
      </c>
      <c r="J369" s="33" t="n">
        <v>784.158940397351</v>
      </c>
      <c r="K369" s="33" t="n">
        <v>238.7777777777778</v>
      </c>
      <c r="L369" s="33" t="n">
        <v>583.9838383188488</v>
      </c>
      <c r="M369" s="33" t="n">
        <v>2445194.46553861</v>
      </c>
      <c r="N369" s="33" t="n">
        <v>570907</v>
      </c>
      <c r="O369" s="34" t="n">
        <v>0</v>
      </c>
      <c r="P369" s="34" t="n">
        <v>0.1488001457212088</v>
      </c>
      <c r="Q369" s="34" t="n">
        <v>0.0589906158909157</v>
      </c>
      <c r="R369" s="31" t="n">
        <v>1680</v>
      </c>
      <c r="S369" s="31" t="n">
        <v>200</v>
      </c>
      <c r="T369" s="31" t="inlineStr">
        <is>
          <t>C</t>
        </is>
      </c>
      <c r="U369" s="31" t="inlineStr">
        <is>
          <t>Balanced</t>
        </is>
      </c>
      <c r="V369" s="31" t="inlineStr">
        <is>
          <t>NEW DEVELOPMENT RESULT</t>
        </is>
      </c>
      <c r="W369" s="31" t="n">
        <v>0.0006272605888904</v>
      </c>
    </row>
    <row r="370" ht="24" customHeight="1">
      <c r="A370" s="31" t="inlineStr">
        <is>
          <t>D021__SP__8103</t>
        </is>
      </c>
      <c r="B370" s="31" t="inlineStr">
        <is>
          <t>D021</t>
        </is>
      </c>
      <c r="C370" s="31" t="inlineStr">
        <is>
          <t>SP</t>
        </is>
      </c>
      <c r="D370" s="31" t="n">
        <v>8103</v>
      </c>
      <c r="E370" s="31" t="n">
        <v>862</v>
      </c>
      <c r="F370" s="33" t="n">
        <v>1529.991879350348</v>
      </c>
      <c r="G370" s="33" t="n">
        <v>2447.590365588323</v>
      </c>
      <c r="H370" s="33" t="n">
        <v>3203.720000000001</v>
      </c>
      <c r="I370" s="33" t="n">
        <v>2139.9</v>
      </c>
      <c r="J370" s="33" t="n">
        <v>717.0046403712297</v>
      </c>
      <c r="K370" s="33" t="n">
        <v>237.0275689223058</v>
      </c>
      <c r="L370" s="33" t="n">
        <v>579.2319598187086</v>
      </c>
      <c r="M370" s="33" t="n">
        <v>2340936.4471048</v>
      </c>
      <c r="N370" s="33" t="n">
        <v>561410</v>
      </c>
      <c r="O370" s="34" t="n">
        <v>0</v>
      </c>
      <c r="P370" s="34" t="n">
        <v>0.1408972902052659</v>
      </c>
      <c r="Q370" s="34" t="n">
        <v>0.0745422606063559</v>
      </c>
      <c r="R370" s="31" t="n">
        <v>1680</v>
      </c>
      <c r="S370" s="31" t="n">
        <v>200</v>
      </c>
      <c r="T370" s="31" t="inlineStr">
        <is>
          <t>C</t>
        </is>
      </c>
      <c r="U370" s="31" t="inlineStr">
        <is>
          <t>Balanced</t>
        </is>
      </c>
      <c r="V370" s="31" t="inlineStr">
        <is>
          <t>NEW DEVELOPMENT RESULT</t>
        </is>
      </c>
      <c r="W370" s="31" t="n">
        <v>0.0006279577858339</v>
      </c>
    </row>
    <row r="371" ht="24" customHeight="1">
      <c r="A371" s="31" t="inlineStr">
        <is>
          <t>D021__DTT__8101</t>
        </is>
      </c>
      <c r="B371" s="31" t="inlineStr">
        <is>
          <t>D021</t>
        </is>
      </c>
      <c r="C371" s="31" t="inlineStr">
        <is>
          <t>DTT</t>
        </is>
      </c>
      <c r="D371" s="31" t="n">
        <v>8101</v>
      </c>
      <c r="E371" s="31" t="n">
        <v>876</v>
      </c>
      <c r="F371" s="33" t="n">
        <v>654.5102739726027</v>
      </c>
      <c r="G371" s="33" t="n">
        <v>1776.695007790682</v>
      </c>
      <c r="H371" s="33" t="n">
        <v>3615.996632420091</v>
      </c>
      <c r="I371" s="33" t="n">
        <v>937</v>
      </c>
      <c r="J371" s="33" t="n">
        <v>5.993150684931507</v>
      </c>
      <c r="K371" s="33" t="n">
        <v>236.9867724867725</v>
      </c>
      <c r="L371" s="33" t="n">
        <v>578.6780132350236</v>
      </c>
      <c r="M371" s="33" t="n">
        <v>1775125.115827477</v>
      </c>
      <c r="N371" s="33" t="n">
        <v>388442</v>
      </c>
      <c r="O371" s="34" t="n">
        <v>0.4521107209928962</v>
      </c>
      <c r="P371" s="34" t="n">
        <v>0.2946394845372584</v>
      </c>
      <c r="Q371" s="34" t="n">
        <v>0.056888713700976</v>
      </c>
      <c r="R371" s="31" t="n">
        <v>1680</v>
      </c>
      <c r="S371" s="31" t="n">
        <v>200</v>
      </c>
      <c r="T371" s="31" t="inlineStr">
        <is>
          <t>C</t>
        </is>
      </c>
      <c r="U371" s="31" t="inlineStr">
        <is>
          <t>Balanced</t>
        </is>
      </c>
      <c r="V371" s="31" t="inlineStr">
        <is>
          <t>NEW DEVELOPMENT RESULT</t>
        </is>
      </c>
      <c r="W371" s="31" t="n">
        <v>0.0007616780041841</v>
      </c>
    </row>
    <row r="372" ht="24" customHeight="1">
      <c r="A372" s="31" t="inlineStr">
        <is>
          <t>D021__DTT__8102</t>
        </is>
      </c>
      <c r="B372" s="31" t="inlineStr">
        <is>
          <t>D021</t>
        </is>
      </c>
      <c r="C372" s="31" t="inlineStr">
        <is>
          <t>DTT</t>
        </is>
      </c>
      <c r="D372" s="31" t="n">
        <v>8102</v>
      </c>
      <c r="E372" s="31" t="n">
        <v>906</v>
      </c>
      <c r="F372" s="33" t="n">
        <v>690.4878587196469</v>
      </c>
      <c r="G372" s="33" t="n">
        <v>1849.239479360514</v>
      </c>
      <c r="H372" s="33" t="n">
        <v>3581.895441501104</v>
      </c>
      <c r="I372" s="33" t="n">
        <v>958</v>
      </c>
      <c r="J372" s="33" t="n">
        <v>21.73289183222958</v>
      </c>
      <c r="K372" s="33" t="n">
        <v>238.7777777777778</v>
      </c>
      <c r="L372" s="33" t="n">
        <v>583.9762891444793</v>
      </c>
      <c r="M372" s="33" t="n">
        <v>1901409.792199539</v>
      </c>
      <c r="N372" s="33" t="n">
        <v>395665</v>
      </c>
      <c r="O372" s="34" t="n">
        <v>0.486813627254509</v>
      </c>
      <c r="P372" s="34" t="n">
        <v>0.254133813904682</v>
      </c>
      <c r="Q372" s="34" t="n">
        <v>0.0284467840354451</v>
      </c>
      <c r="R372" s="31" t="n">
        <v>1680</v>
      </c>
      <c r="S372" s="31" t="n">
        <v>200</v>
      </c>
      <c r="T372" s="31" t="inlineStr">
        <is>
          <t>C</t>
        </is>
      </c>
      <c r="U372" s="31" t="inlineStr">
        <is>
          <t>Balanced</t>
        </is>
      </c>
      <c r="V372" s="31" t="inlineStr">
        <is>
          <t>NEW DEVELOPMENT RESULT</t>
        </is>
      </c>
      <c r="W372" s="31" t="n">
        <v>0.0007693671781261</v>
      </c>
    </row>
    <row r="373" ht="24" customHeight="1">
      <c r="A373" s="31" t="inlineStr">
        <is>
          <t>D021__DTT__8103</t>
        </is>
      </c>
      <c r="B373" s="31" t="inlineStr">
        <is>
          <t>D021</t>
        </is>
      </c>
      <c r="C373" s="31" t="inlineStr">
        <is>
          <t>DTT</t>
        </is>
      </c>
      <c r="D373" s="31" t="n">
        <v>8103</v>
      </c>
      <c r="E373" s="31" t="n">
        <v>862</v>
      </c>
      <c r="F373" s="33" t="n">
        <v>632.7343387470997</v>
      </c>
      <c r="G373" s="33" t="n">
        <v>1720.751684217104</v>
      </c>
      <c r="H373" s="33" t="n">
        <v>3646.885127610208</v>
      </c>
      <c r="I373" s="33" t="n">
        <v>948.95</v>
      </c>
      <c r="J373" s="33" t="n">
        <v>2.240139211136891</v>
      </c>
      <c r="K373" s="33" t="n">
        <v>237.0275689223058</v>
      </c>
      <c r="L373" s="33" t="n">
        <v>579.2319598187086</v>
      </c>
      <c r="M373" s="33" t="n">
        <v>1714401.503762809</v>
      </c>
      <c r="N373" s="33" t="n">
        <v>358374</v>
      </c>
      <c r="O373" s="34" t="n">
        <v>0.4586588541666667</v>
      </c>
      <c r="P373" s="34" t="n">
        <v>0.3206972536812039</v>
      </c>
      <c r="Q373" s="34" t="n">
        <v>0.0223860880690985</v>
      </c>
      <c r="R373" s="31" t="n">
        <v>1680</v>
      </c>
      <c r="S373" s="31" t="n">
        <v>200</v>
      </c>
      <c r="T373" s="31" t="inlineStr">
        <is>
          <t>C</t>
        </is>
      </c>
      <c r="U373" s="31" t="inlineStr">
        <is>
          <t>Balanced</t>
        </is>
      </c>
      <c r="V373" s="31" t="inlineStr">
        <is>
          <t>NEW DEVELOPMENT RESULT</t>
        </is>
      </c>
      <c r="W373" s="31" t="n">
        <v>0.0007993791261389</v>
      </c>
    </row>
    <row r="374" ht="24" customHeight="1">
      <c r="A374" s="31" t="inlineStr">
        <is>
          <t>D021__ECO__8101</t>
        </is>
      </c>
      <c r="B374" s="31" t="inlineStr">
        <is>
          <t>D021</t>
        </is>
      </c>
      <c r="C374" s="31" t="inlineStr">
        <is>
          <t>ECO</t>
        </is>
      </c>
      <c r="D374" s="31" t="n">
        <v>8101</v>
      </c>
      <c r="E374" s="31" t="n">
        <v>876</v>
      </c>
      <c r="F374" s="33" t="n">
        <v>1102.442922374429</v>
      </c>
      <c r="G374" s="33" t="n">
        <v>2932.618541233868</v>
      </c>
      <c r="H374" s="33" t="n">
        <v>3733.277888127854</v>
      </c>
      <c r="I374" s="33" t="n">
        <v>1753.5</v>
      </c>
      <c r="J374" s="33" t="n">
        <v>22.76369863013698</v>
      </c>
      <c r="K374" s="33" t="n">
        <v>580.558201058201</v>
      </c>
      <c r="L374" s="33" t="n">
        <v>1510.237722489058</v>
      </c>
      <c r="M374" s="33" t="n">
        <v>3139843.701221732</v>
      </c>
      <c r="N374" s="33" t="n">
        <v>836161</v>
      </c>
      <c r="O374" s="34" t="n">
        <v>0.3599760065981855</v>
      </c>
      <c r="P374" s="34" t="n">
        <v>0.4345651193325668</v>
      </c>
      <c r="Q374" s="34" t="n">
        <v>-0.2539685479374566</v>
      </c>
      <c r="R374" s="31" t="n">
        <v>1680</v>
      </c>
      <c r="S374" s="31" t="n">
        <v>200</v>
      </c>
      <c r="T374" s="31" t="inlineStr">
        <is>
          <t>C</t>
        </is>
      </c>
      <c r="U374" s="31" t="inlineStr">
        <is>
          <t>Balanced</t>
        </is>
      </c>
      <c r="V374" s="31" t="inlineStr">
        <is>
          <t>NEW DEVELOPMENT RESULT</t>
        </is>
      </c>
      <c r="W374" s="31" t="n">
        <v>0.000496146183028</v>
      </c>
    </row>
    <row r="375" ht="24" customHeight="1">
      <c r="A375" s="31" t="inlineStr">
        <is>
          <t>D021__ECO__8102</t>
        </is>
      </c>
      <c r="B375" s="31" t="inlineStr">
        <is>
          <t>D021</t>
        </is>
      </c>
      <c r="C375" s="31" t="inlineStr">
        <is>
          <t>ECO</t>
        </is>
      </c>
      <c r="D375" s="31" t="n">
        <v>8102</v>
      </c>
      <c r="E375" s="31" t="n">
        <v>906</v>
      </c>
      <c r="F375" s="33" t="n">
        <v>1108.169977924945</v>
      </c>
      <c r="G375" s="33" t="n">
        <v>2989.89438413886</v>
      </c>
      <c r="H375" s="33" t="n">
        <v>3732.759183222958</v>
      </c>
      <c r="I375" s="33" t="n">
        <v>1875.5</v>
      </c>
      <c r="J375" s="33" t="n">
        <v>11.31015452538631</v>
      </c>
      <c r="K375" s="33" t="n">
        <v>464.1369509043928</v>
      </c>
      <c r="L375" s="33" t="n">
        <v>1201.247048330068</v>
      </c>
      <c r="M375" s="33" t="n">
        <v>3173726.919733543</v>
      </c>
      <c r="N375" s="33" t="n">
        <v>796774</v>
      </c>
      <c r="O375" s="34" t="n">
        <v>0.3351194786386676</v>
      </c>
      <c r="P375" s="34" t="n">
        <v>0.4162066608038168</v>
      </c>
      <c r="Q375" s="34" t="n">
        <v>-0.264445428449607</v>
      </c>
      <c r="R375" s="31" t="n">
        <v>1680</v>
      </c>
      <c r="S375" s="31" t="n">
        <v>200</v>
      </c>
      <c r="T375" s="31" t="inlineStr">
        <is>
          <t>C</t>
        </is>
      </c>
      <c r="U375" s="31" t="inlineStr">
        <is>
          <t>Balanced</t>
        </is>
      </c>
      <c r="V375" s="31" t="inlineStr">
        <is>
          <t>NEW DEVELOPMENT RESULT</t>
        </is>
      </c>
      <c r="W375" s="31" t="n">
        <v>0.0005073383471945</v>
      </c>
    </row>
    <row r="376" ht="24" customHeight="1">
      <c r="A376" s="31" t="inlineStr">
        <is>
          <t>D021__ECO__8103</t>
        </is>
      </c>
      <c r="B376" s="31" t="inlineStr">
        <is>
          <t>D021</t>
        </is>
      </c>
      <c r="C376" s="31" t="inlineStr">
        <is>
          <t>ECO</t>
        </is>
      </c>
      <c r="D376" s="31" t="n">
        <v>8103</v>
      </c>
      <c r="E376" s="31" t="n">
        <v>862</v>
      </c>
      <c r="F376" s="33" t="n">
        <v>1048.241299303944</v>
      </c>
      <c r="G376" s="33" t="n">
        <v>2742.930282341916</v>
      </c>
      <c r="H376" s="33" t="n">
        <v>3752.7613225058</v>
      </c>
      <c r="I376" s="33" t="n">
        <v>1558</v>
      </c>
      <c r="J376" s="33" t="n">
        <v>49.17981438515081</v>
      </c>
      <c r="K376" s="33" t="n">
        <v>431.453634085213</v>
      </c>
      <c r="L376" s="33" t="n">
        <v>1113.534078313405</v>
      </c>
      <c r="M376" s="33" t="n">
        <v>2808706.00062578</v>
      </c>
      <c r="N376" s="33" t="n">
        <v>705770</v>
      </c>
      <c r="O376" s="34" t="n">
        <v>0.2229543365001532</v>
      </c>
      <c r="P376" s="34" t="n">
        <v>0.4977510875087209</v>
      </c>
      <c r="Q376" s="34" t="n">
        <v>-0.0964979843302993</v>
      </c>
      <c r="R376" s="31" t="n">
        <v>1680</v>
      </c>
      <c r="S376" s="31" t="n">
        <v>200</v>
      </c>
      <c r="T376" s="31" t="inlineStr">
        <is>
          <t>C</t>
        </is>
      </c>
      <c r="U376" s="31" t="inlineStr">
        <is>
          <t>Balanced</t>
        </is>
      </c>
      <c r="V376" s="31" t="inlineStr">
        <is>
          <t>NEW DEVELOPMENT RESULT</t>
        </is>
      </c>
      <c r="W376" s="31" t="n">
        <v>0.0005085161113142</v>
      </c>
    </row>
    <row r="377" ht="24" customHeight="1">
      <c r="A377" s="31" t="inlineStr">
        <is>
          <t>D021__TECO05__8101</t>
        </is>
      </c>
      <c r="B377" s="31" t="inlineStr">
        <is>
          <t>D021</t>
        </is>
      </c>
      <c r="C377" s="31" t="inlineStr">
        <is>
          <t>TECO05</t>
        </is>
      </c>
      <c r="D377" s="31" t="n">
        <v>8101</v>
      </c>
      <c r="E377" s="31" t="n">
        <v>876</v>
      </c>
      <c r="F377" s="33" t="n">
        <v>845.0205479452055</v>
      </c>
      <c r="G377" s="33" t="n">
        <v>2184.38660322617</v>
      </c>
      <c r="H377" s="33" t="n">
        <v>3533.537534246576</v>
      </c>
      <c r="I377" s="33" t="n">
        <v>1344.25</v>
      </c>
      <c r="J377" s="33" t="n">
        <v>70.31963470319634</v>
      </c>
      <c r="K377" s="33" t="n">
        <v>236.9867724867725</v>
      </c>
      <c r="L377" s="33" t="n">
        <v>578.6863631529501</v>
      </c>
      <c r="M377" s="33" t="n">
        <v>2132266.10969794</v>
      </c>
      <c r="N377" s="33" t="n">
        <v>491837</v>
      </c>
      <c r="O377" s="34" t="n">
        <v>0.2953448275862069</v>
      </c>
      <c r="P377" s="34" t="n">
        <v>0.2748032023146446</v>
      </c>
      <c r="Q377" s="34" t="n">
        <v>0.0323187864247624</v>
      </c>
      <c r="R377" s="31" t="n">
        <v>1680</v>
      </c>
      <c r="S377" s="31" t="n">
        <v>200</v>
      </c>
      <c r="T377" s="31" t="inlineStr">
        <is>
          <t>C</t>
        </is>
      </c>
      <c r="U377" s="31" t="inlineStr">
        <is>
          <t>Balanced</t>
        </is>
      </c>
      <c r="V377" s="31" t="inlineStr">
        <is>
          <t>NEW DEVELOPMENT RESULT</t>
        </is>
      </c>
      <c r="W377" s="31" t="n">
        <v>0.0006415790522852</v>
      </c>
    </row>
    <row r="378" ht="24" customHeight="1">
      <c r="A378" s="31" t="inlineStr">
        <is>
          <t>D021__TECO05__8102</t>
        </is>
      </c>
      <c r="B378" s="31" t="inlineStr">
        <is>
          <t>D021</t>
        </is>
      </c>
      <c r="C378" s="31" t="inlineStr">
        <is>
          <t>TECO05</t>
        </is>
      </c>
      <c r="D378" s="31" t="n">
        <v>8102</v>
      </c>
      <c r="E378" s="31" t="n">
        <v>906</v>
      </c>
      <c r="F378" s="33" t="n">
        <v>812.9812362030905</v>
      </c>
      <c r="G378" s="33" t="n">
        <v>2117.82530846789</v>
      </c>
      <c r="H378" s="33" t="n">
        <v>3564.476479028698</v>
      </c>
      <c r="I378" s="33" t="n">
        <v>1329</v>
      </c>
      <c r="J378" s="33" t="n">
        <v>50.51103752759382</v>
      </c>
      <c r="K378" s="33" t="n">
        <v>238.9095607235142</v>
      </c>
      <c r="L378" s="33" t="n">
        <v>584.390274930075</v>
      </c>
      <c r="M378" s="33" t="n">
        <v>2144908.765869847</v>
      </c>
      <c r="N378" s="33" t="n">
        <v>455442</v>
      </c>
      <c r="O378" s="34" t="n">
        <v>0.3335510737323426</v>
      </c>
      <c r="P378" s="34" t="n">
        <v>0.2821987385296714</v>
      </c>
      <c r="Q378" s="34" t="n">
        <v>0.0472063167422413</v>
      </c>
      <c r="R378" s="31" t="n">
        <v>1680</v>
      </c>
      <c r="S378" s="31" t="n">
        <v>200</v>
      </c>
      <c r="T378" s="31" t="inlineStr">
        <is>
          <t>C</t>
        </is>
      </c>
      <c r="U378" s="31" t="inlineStr">
        <is>
          <t>Balanced</t>
        </is>
      </c>
      <c r="V378" s="31" t="inlineStr">
        <is>
          <t>NEW DEVELOPMENT RESULT</t>
        </is>
      </c>
      <c r="W378" s="31" t="n">
        <v>0.0006734590005381</v>
      </c>
    </row>
    <row r="379" ht="24" customHeight="1">
      <c r="A379" s="31" t="inlineStr">
        <is>
          <t>D021__TECO05__8103</t>
        </is>
      </c>
      <c r="B379" s="31" t="inlineStr">
        <is>
          <t>D021</t>
        </is>
      </c>
      <c r="C379" s="31" t="inlineStr">
        <is>
          <t>TECO05</t>
        </is>
      </c>
      <c r="D379" s="31" t="n">
        <v>8103</v>
      </c>
      <c r="E379" s="31" t="n">
        <v>862</v>
      </c>
      <c r="F379" s="33" t="n">
        <v>665.4872389791183</v>
      </c>
      <c r="G379" s="33" t="n">
        <v>1842.875581480228</v>
      </c>
      <c r="H379" s="33" t="n">
        <v>3622.733874709977</v>
      </c>
      <c r="I379" s="33" t="n">
        <v>1080.95</v>
      </c>
      <c r="J379" s="33" t="n">
        <v>5.511600928074246</v>
      </c>
      <c r="K379" s="33" t="n">
        <v>284.1979949874687</v>
      </c>
      <c r="L379" s="33" t="n">
        <v>705.786512758057</v>
      </c>
      <c r="M379" s="33" t="n">
        <v>1870167.569826422</v>
      </c>
      <c r="N379" s="33" t="n">
        <v>410009</v>
      </c>
      <c r="O379" s="34" t="n">
        <v>0.4097245270494524</v>
      </c>
      <c r="P379" s="34" t="n">
        <v>0.3538592477538003</v>
      </c>
      <c r="Q379" s="34" t="n">
        <v>-0.0467988501711494</v>
      </c>
      <c r="R379" s="31" t="n">
        <v>1680</v>
      </c>
      <c r="S379" s="31" t="n">
        <v>200</v>
      </c>
      <c r="T379" s="31" t="inlineStr">
        <is>
          <t>C</t>
        </is>
      </c>
      <c r="U379" s="31" t="inlineStr">
        <is>
          <t>Balanced</t>
        </is>
      </c>
      <c r="V379" s="31" t="inlineStr">
        <is>
          <t>NEW DEVELOPMENT RESULT</t>
        </is>
      </c>
      <c r="W379" s="31" t="n">
        <v>0.0007329619934626</v>
      </c>
    </row>
    <row r="380" ht="24" customHeight="1">
      <c r="A380" s="31" t="inlineStr">
        <is>
          <t>D021__TECO10__8101</t>
        </is>
      </c>
      <c r="B380" s="31" t="inlineStr">
        <is>
          <t>D021</t>
        </is>
      </c>
      <c r="C380" s="31" t="inlineStr">
        <is>
          <t>TECO10</t>
        </is>
      </c>
      <c r="D380" s="31" t="n">
        <v>8101</v>
      </c>
      <c r="E380" s="31" t="n">
        <v>876</v>
      </c>
      <c r="F380" s="33" t="n">
        <v>973.3995433789954</v>
      </c>
      <c r="G380" s="33" t="n">
        <v>2318.873586148655</v>
      </c>
      <c r="H380" s="33" t="n">
        <v>3640.662773972603</v>
      </c>
      <c r="I380" s="33" t="n">
        <v>1841</v>
      </c>
      <c r="J380" s="33" t="n">
        <v>126.8698630136986</v>
      </c>
      <c r="K380" s="33" t="n">
        <v>236.9867724867725</v>
      </c>
      <c r="L380" s="33" t="n">
        <v>578.6287884713453</v>
      </c>
      <c r="M380" s="33" t="n">
        <v>2250054.94350839</v>
      </c>
      <c r="N380" s="33" t="n">
        <v>514727</v>
      </c>
      <c r="O380" s="34" t="n">
        <v>0.1495204524961062</v>
      </c>
      <c r="P380" s="34" t="n">
        <v>0.4936936619655369</v>
      </c>
      <c r="Q380" s="34" t="n">
        <v>0.0311158831251903</v>
      </c>
      <c r="R380" s="31" t="n">
        <v>1680</v>
      </c>
      <c r="S380" s="31" t="n">
        <v>200</v>
      </c>
      <c r="T380" s="31" t="inlineStr">
        <is>
          <t>C</t>
        </is>
      </c>
      <c r="U380" s="31" t="inlineStr">
        <is>
          <t>Balanced</t>
        </is>
      </c>
      <c r="V380" s="31" t="inlineStr">
        <is>
          <t>NEW DEVELOPMENT RESULT</t>
        </is>
      </c>
      <c r="W380" s="31" t="n">
        <v>0.0005985129161547</v>
      </c>
    </row>
    <row r="381" ht="24" customHeight="1">
      <c r="A381" s="31" t="inlineStr">
        <is>
          <t>D021__TECO10__8102</t>
        </is>
      </c>
      <c r="B381" s="31" t="inlineStr">
        <is>
          <t>D021</t>
        </is>
      </c>
      <c r="C381" s="31" t="inlineStr">
        <is>
          <t>TECO10</t>
        </is>
      </c>
      <c r="D381" s="31" t="n">
        <v>8102</v>
      </c>
      <c r="E381" s="31" t="n">
        <v>906</v>
      </c>
      <c r="F381" s="33" t="n">
        <v>963.3245033112582</v>
      </c>
      <c r="G381" s="33" t="n">
        <v>2412.226502512151</v>
      </c>
      <c r="H381" s="33" t="n">
        <v>3535.440066225166</v>
      </c>
      <c r="I381" s="33" t="n">
        <v>1834</v>
      </c>
      <c r="J381" s="33" t="n">
        <v>105.1479028697572</v>
      </c>
      <c r="K381" s="33" t="n">
        <v>238.7777777777778</v>
      </c>
      <c r="L381" s="33" t="n">
        <v>583.9838383188488</v>
      </c>
      <c r="M381" s="33" t="n">
        <v>2411478.956705404</v>
      </c>
      <c r="N381" s="33" t="n">
        <v>541116</v>
      </c>
      <c r="O381" s="34" t="n">
        <v>0.1972194472194472</v>
      </c>
      <c r="P381" s="34" t="n">
        <v>0.3064275181050389</v>
      </c>
      <c r="Q381" s="34" t="n">
        <v>0.0310004799293668</v>
      </c>
      <c r="R381" s="31" t="n">
        <v>1680</v>
      </c>
      <c r="S381" s="31" t="n">
        <v>200</v>
      </c>
      <c r="T381" s="31" t="inlineStr">
        <is>
          <t>C</t>
        </is>
      </c>
      <c r="U381" s="31" t="inlineStr">
        <is>
          <t>Balanced</t>
        </is>
      </c>
      <c r="V381" s="31" t="inlineStr">
        <is>
          <t>NEW DEVELOPMENT RESULT</t>
        </is>
      </c>
      <c r="W381" s="31" t="n">
        <v>0.0006054557531448</v>
      </c>
    </row>
    <row r="382" ht="24" customHeight="1">
      <c r="A382" s="31" t="inlineStr">
        <is>
          <t>D021__TECO10__8103</t>
        </is>
      </c>
      <c r="B382" s="31" t="inlineStr">
        <is>
          <t>D021</t>
        </is>
      </c>
      <c r="C382" s="31" t="inlineStr">
        <is>
          <t>TECO10</t>
        </is>
      </c>
      <c r="D382" s="31" t="n">
        <v>8103</v>
      </c>
      <c r="E382" s="31" t="n">
        <v>862</v>
      </c>
      <c r="F382" s="33" t="n">
        <v>901.0394431554524</v>
      </c>
      <c r="G382" s="33" t="n">
        <v>2282.568820886206</v>
      </c>
      <c r="H382" s="33" t="n">
        <v>3560.074814385151</v>
      </c>
      <c r="I382" s="33" t="n">
        <v>1541.9</v>
      </c>
      <c r="J382" s="33" t="n">
        <v>85.51972157772622</v>
      </c>
      <c r="K382" s="33" t="n">
        <v>237.0275689223058</v>
      </c>
      <c r="L382" s="33" t="n">
        <v>579.2243733062537</v>
      </c>
      <c r="M382" s="33" t="n">
        <v>2198684.848553105</v>
      </c>
      <c r="N382" s="33" t="n">
        <v>508079</v>
      </c>
      <c r="O382" s="34" t="n">
        <v>0.222779555478682</v>
      </c>
      <c r="P382" s="34" t="n">
        <v>0.3083021963384611</v>
      </c>
      <c r="Q382" s="34" t="n">
        <v>-0.0004908427056305</v>
      </c>
      <c r="R382" s="31" t="n">
        <v>1680</v>
      </c>
      <c r="S382" s="31" t="n">
        <v>200</v>
      </c>
      <c r="T382" s="31" t="inlineStr">
        <is>
          <t>C</t>
        </is>
      </c>
      <c r="U382" s="31" t="inlineStr">
        <is>
          <t>Balanced</t>
        </is>
      </c>
      <c r="V382" s="31" t="inlineStr">
        <is>
          <t>NEW DEVELOPMENT RESULT</t>
        </is>
      </c>
      <c r="W382" s="31" t="n">
        <v>0.0006268857343609</v>
      </c>
    </row>
    <row r="383" ht="24" customHeight="1">
      <c r="A383" s="31" t="inlineStr">
        <is>
          <t>D021__TECO15__8101</t>
        </is>
      </c>
      <c r="B383" s="31" t="inlineStr">
        <is>
          <t>D021</t>
        </is>
      </c>
      <c r="C383" s="31" t="inlineStr">
        <is>
          <t>TECO15</t>
        </is>
      </c>
      <c r="D383" s="31" t="n">
        <v>8101</v>
      </c>
      <c r="E383" s="31" t="n">
        <v>876</v>
      </c>
      <c r="F383" s="33" t="n">
        <v>854.0102739726027</v>
      </c>
      <c r="G383" s="33" t="n">
        <v>2309.507029653287</v>
      </c>
      <c r="H383" s="33" t="n">
        <v>3652.66154109589</v>
      </c>
      <c r="I383" s="33" t="n">
        <v>1337.25</v>
      </c>
      <c r="J383" s="33" t="n">
        <v>9.626712328767123</v>
      </c>
      <c r="K383" s="33" t="n">
        <v>296.3571428571428</v>
      </c>
      <c r="L383" s="33" t="n">
        <v>740.9361074308778</v>
      </c>
      <c r="M383" s="33" t="n">
        <v>2303202.00658515</v>
      </c>
      <c r="N383" s="33" t="n">
        <v>567820</v>
      </c>
      <c r="O383" s="34" t="n">
        <v>0.3659251049006413</v>
      </c>
      <c r="P383" s="34" t="n">
        <v>0.3726413252781747</v>
      </c>
      <c r="Q383" s="34" t="n">
        <v>-0.1133531613603831</v>
      </c>
      <c r="R383" s="31" t="n">
        <v>1680</v>
      </c>
      <c r="S383" s="31" t="n">
        <v>200</v>
      </c>
      <c r="T383" s="31" t="inlineStr">
        <is>
          <t>C</t>
        </is>
      </c>
      <c r="U383" s="31" t="inlineStr">
        <is>
          <t>Balanced</t>
        </is>
      </c>
      <c r="V383" s="31" t="inlineStr">
        <is>
          <t>NEW DEVELOPMENT RESULT</t>
        </is>
      </c>
      <c r="W383" s="31" t="n">
        <v>0.0006229859802465</v>
      </c>
    </row>
    <row r="384" ht="24" customHeight="1">
      <c r="A384" s="31" t="inlineStr">
        <is>
          <t>D021__TECO15__8102</t>
        </is>
      </c>
      <c r="B384" s="31" t="inlineStr">
        <is>
          <t>D021</t>
        </is>
      </c>
      <c r="C384" s="31" t="inlineStr">
        <is>
          <t>TECO15</t>
        </is>
      </c>
      <c r="D384" s="31" t="n">
        <v>8102</v>
      </c>
      <c r="E384" s="31" t="n">
        <v>906</v>
      </c>
      <c r="F384" s="33" t="n">
        <v>927.0165562913908</v>
      </c>
      <c r="G384" s="33" t="n">
        <v>2449.394528094469</v>
      </c>
      <c r="H384" s="33" t="n">
        <v>3575.90559602649</v>
      </c>
      <c r="I384" s="33" t="n">
        <v>1460.5</v>
      </c>
      <c r="J384" s="33" t="n">
        <v>46.6280353200883</v>
      </c>
      <c r="K384" s="33" t="n">
        <v>371.3049095607235</v>
      </c>
      <c r="L384" s="33" t="n">
        <v>945.8799679911372</v>
      </c>
      <c r="M384" s="33" t="n">
        <v>2585206.990066159</v>
      </c>
      <c r="N384" s="33" t="n">
        <v>605608</v>
      </c>
      <c r="O384" s="34" t="n">
        <v>0.3130949524038077</v>
      </c>
      <c r="P384" s="34" t="n">
        <v>0.4179047480656617</v>
      </c>
      <c r="Q384" s="34" t="n">
        <v>-0.0203586373717072</v>
      </c>
      <c r="R384" s="31" t="n">
        <v>1680</v>
      </c>
      <c r="S384" s="31" t="n">
        <v>200</v>
      </c>
      <c r="T384" s="31" t="inlineStr">
        <is>
          <t>C</t>
        </is>
      </c>
      <c r="U384" s="31" t="inlineStr">
        <is>
          <t>Balanced</t>
        </is>
      </c>
      <c r="V384" s="31" t="inlineStr">
        <is>
          <t>NEW DEVELOPMENT RESULT</t>
        </is>
      </c>
      <c r="W384" s="31" t="n">
        <v>0.0005857081233564</v>
      </c>
    </row>
    <row r="385" ht="24" customHeight="1">
      <c r="A385" s="31" t="inlineStr">
        <is>
          <t>D021__TECO15__8103</t>
        </is>
      </c>
      <c r="B385" s="31" t="inlineStr">
        <is>
          <t>D021</t>
        </is>
      </c>
      <c r="C385" s="31" t="inlineStr">
        <is>
          <t>TECO15</t>
        </is>
      </c>
      <c r="D385" s="31" t="n">
        <v>8103</v>
      </c>
      <c r="E385" s="31" t="n">
        <v>862</v>
      </c>
      <c r="F385" s="33" t="n">
        <v>1079.435034802784</v>
      </c>
      <c r="G385" s="33" t="n">
        <v>2623.19105812454</v>
      </c>
      <c r="H385" s="33" t="n">
        <v>3613.99041763341</v>
      </c>
      <c r="I385" s="33" t="n">
        <v>1930.9</v>
      </c>
      <c r="J385" s="33" t="n">
        <v>125.3213457076566</v>
      </c>
      <c r="K385" s="33" t="n">
        <v>258.3308270676692</v>
      </c>
      <c r="L385" s="33" t="n">
        <v>638.3159374905805</v>
      </c>
      <c r="M385" s="33" t="n">
        <v>2515878.751162095</v>
      </c>
      <c r="N385" s="33" t="n">
        <v>601824</v>
      </c>
      <c r="O385" s="34" t="n">
        <v>0.2190228341168569</v>
      </c>
      <c r="P385" s="34" t="n">
        <v>0.7830044473471747</v>
      </c>
      <c r="Q385" s="34" t="n">
        <v>0.3157505732823316</v>
      </c>
      <c r="R385" s="31" t="n">
        <v>1680</v>
      </c>
      <c r="S385" s="31" t="n">
        <v>200</v>
      </c>
      <c r="T385" s="31" t="inlineStr">
        <is>
          <t>C</t>
        </is>
      </c>
      <c r="U385" s="31" t="inlineStr">
        <is>
          <t>Balanced</t>
        </is>
      </c>
      <c r="V385" s="31" t="inlineStr">
        <is>
          <t>NEW DEVELOPMENT RESULT</t>
        </is>
      </c>
      <c r="W385" s="31" t="n">
        <v>0.0005556547138687999</v>
      </c>
    </row>
    <row r="386" ht="24" customHeight="1">
      <c r="A386" s="31" t="inlineStr">
        <is>
          <t>D022__SP__8101</t>
        </is>
      </c>
      <c r="B386" s="31" t="inlineStr">
        <is>
          <t>D022</t>
        </is>
      </c>
      <c r="C386" s="31" t="inlineStr">
        <is>
          <t>SP</t>
        </is>
      </c>
      <c r="D386" s="31" t="n">
        <v>8101</v>
      </c>
      <c r="E386" s="31" t="n">
        <v>876</v>
      </c>
      <c r="F386" s="33" t="n">
        <v>920.8972602739726</v>
      </c>
      <c r="G386" s="33" t="n">
        <v>1712.412722469323</v>
      </c>
      <c r="H386" s="33" t="n">
        <v>3203.720000000001</v>
      </c>
      <c r="I386" s="33" t="n">
        <v>1153</v>
      </c>
      <c r="J386" s="33" t="n">
        <v>345.3059360730593</v>
      </c>
      <c r="K386" s="33" t="n">
        <v>246.9867724867725</v>
      </c>
      <c r="L386" s="33" t="n">
        <v>607.6499770611385</v>
      </c>
      <c r="M386" s="33" t="n">
        <v>1729765.236212237</v>
      </c>
      <c r="N386" s="33" t="n">
        <v>328503</v>
      </c>
      <c r="O386" s="34" t="n">
        <v>0</v>
      </c>
      <c r="P386" s="34" t="n">
        <v>0.1656409733750271</v>
      </c>
      <c r="Q386" s="34" t="n">
        <v>0.0674018805729996</v>
      </c>
      <c r="R386" s="31" t="n">
        <v>1680</v>
      </c>
      <c r="S386" s="31" t="n">
        <v>200</v>
      </c>
      <c r="T386" s="31" t="inlineStr">
        <is>
          <t>C</t>
        </is>
      </c>
      <c r="U386" s="31" t="inlineStr">
        <is>
          <t>Arterial</t>
        </is>
      </c>
      <c r="V386" s="31" t="inlineStr">
        <is>
          <t>NEW DEVELOPMENT RESULT</t>
        </is>
      </c>
      <c r="W386" s="31" t="n">
        <v>0.0008657988937298</v>
      </c>
    </row>
    <row r="387" ht="24" customHeight="1">
      <c r="A387" s="31" t="inlineStr">
        <is>
          <t>D022__SP__8102</t>
        </is>
      </c>
      <c r="B387" s="31" t="inlineStr">
        <is>
          <t>D022</t>
        </is>
      </c>
      <c r="C387" s="31" t="inlineStr">
        <is>
          <t>SP</t>
        </is>
      </c>
      <c r="D387" s="31" t="n">
        <v>8102</v>
      </c>
      <c r="E387" s="31" t="n">
        <v>906</v>
      </c>
      <c r="F387" s="33" t="n">
        <v>910.8366445916116</v>
      </c>
      <c r="G387" s="33" t="n">
        <v>1699.971309706212</v>
      </c>
      <c r="H387" s="33" t="n">
        <v>3203.72</v>
      </c>
      <c r="I387" s="33" t="n">
        <v>1178</v>
      </c>
      <c r="J387" s="33" t="n">
        <v>338.9315673289183</v>
      </c>
      <c r="K387" s="33" t="n">
        <v>249.0180878552972</v>
      </c>
      <c r="L387" s="33" t="n">
        <v>613.1871982528231</v>
      </c>
      <c r="M387" s="33" t="n">
        <v>1777477.45231767</v>
      </c>
      <c r="N387" s="33" t="n">
        <v>319337</v>
      </c>
      <c r="O387" s="34" t="n">
        <v>0</v>
      </c>
      <c r="P387" s="34" t="n">
        <v>0.1640131753347269</v>
      </c>
      <c r="Q387" s="34" t="n">
        <v>0.0463861875827026</v>
      </c>
      <c r="R387" s="31" t="n">
        <v>1680</v>
      </c>
      <c r="S387" s="31" t="n">
        <v>200</v>
      </c>
      <c r="T387" s="31" t="inlineStr">
        <is>
          <t>C</t>
        </is>
      </c>
      <c r="U387" s="31" t="inlineStr">
        <is>
          <t>Arterial</t>
        </is>
      </c>
      <c r="V387" s="31" t="inlineStr">
        <is>
          <t>NEW DEVELOPMENT RESULT</t>
        </is>
      </c>
      <c r="W387" s="31" t="n">
        <v>0.0008877883541637</v>
      </c>
    </row>
    <row r="388" ht="24" customHeight="1">
      <c r="A388" s="31" t="inlineStr">
        <is>
          <t>D022__SP__8103</t>
        </is>
      </c>
      <c r="B388" s="31" t="inlineStr">
        <is>
          <t>D022</t>
        </is>
      </c>
      <c r="C388" s="31" t="inlineStr">
        <is>
          <t>SP</t>
        </is>
      </c>
      <c r="D388" s="31" t="n">
        <v>8103</v>
      </c>
      <c r="E388" s="31" t="n">
        <v>862</v>
      </c>
      <c r="F388" s="33" t="n">
        <v>849.2633410672854</v>
      </c>
      <c r="G388" s="33" t="n">
        <v>1700.313723182655</v>
      </c>
      <c r="H388" s="33" t="n">
        <v>3203.720000000001</v>
      </c>
      <c r="I388" s="33" t="n">
        <v>1101</v>
      </c>
      <c r="J388" s="33" t="n">
        <v>277.3329466357309</v>
      </c>
      <c r="K388" s="33" t="n">
        <v>247.0275689223058</v>
      </c>
      <c r="L388" s="33" t="n">
        <v>607.6764235974201</v>
      </c>
      <c r="M388" s="33" t="n">
        <v>1708133.322398819</v>
      </c>
      <c r="N388" s="33" t="n">
        <v>315953</v>
      </c>
      <c r="O388" s="34" t="n">
        <v>0</v>
      </c>
      <c r="P388" s="34" t="n">
        <v>0.141830913139282</v>
      </c>
      <c r="Q388" s="34" t="n">
        <v>0.0577289662322851</v>
      </c>
      <c r="R388" s="31" t="n">
        <v>1680</v>
      </c>
      <c r="S388" s="31" t="n">
        <v>200</v>
      </c>
      <c r="T388" s="31" t="inlineStr">
        <is>
          <t>C</t>
        </is>
      </c>
      <c r="U388" s="31" t="inlineStr">
        <is>
          <t>Arterial</t>
        </is>
      </c>
      <c r="V388" s="31" t="inlineStr">
        <is>
          <t>NEW DEVELOPMENT RESULT</t>
        </is>
      </c>
      <c r="W388" s="31" t="n">
        <v>0.0008872089460259</v>
      </c>
    </row>
    <row r="389" ht="24" customHeight="1">
      <c r="A389" s="31" t="inlineStr">
        <is>
          <t>D022__DTT__8101</t>
        </is>
      </c>
      <c r="B389" s="31" t="inlineStr">
        <is>
          <t>D022</t>
        </is>
      </c>
      <c r="C389" s="31" t="inlineStr">
        <is>
          <t>DTT</t>
        </is>
      </c>
      <c r="D389" s="31" t="n">
        <v>8101</v>
      </c>
      <c r="E389" s="31" t="n">
        <v>876</v>
      </c>
      <c r="F389" s="33" t="n">
        <v>556.37899543379</v>
      </c>
      <c r="G389" s="33" t="n">
        <v>1495.781942745572</v>
      </c>
      <c r="H389" s="33" t="n">
        <v>3483.323242009133</v>
      </c>
      <c r="I389" s="33" t="n">
        <v>1170.25</v>
      </c>
      <c r="J389" s="33" t="n">
        <v>2.493150684931507</v>
      </c>
      <c r="K389" s="33" t="n">
        <v>246.9867724867725</v>
      </c>
      <c r="L389" s="33" t="n">
        <v>607.6499770611385</v>
      </c>
      <c r="M389" s="33" t="n">
        <v>1539996.673174232</v>
      </c>
      <c r="N389" s="33" t="n">
        <v>293559</v>
      </c>
      <c r="O389" s="34" t="n">
        <v>0.4624384236453202</v>
      </c>
      <c r="P389" s="34" t="n">
        <v>0.3240446651707338</v>
      </c>
      <c r="Q389" s="34" t="n">
        <v>-0.0431303619772472</v>
      </c>
      <c r="R389" s="31" t="n">
        <v>1680</v>
      </c>
      <c r="S389" s="31" t="n">
        <v>200</v>
      </c>
      <c r="T389" s="31" t="inlineStr">
        <is>
          <t>C</t>
        </is>
      </c>
      <c r="U389" s="31" t="inlineStr">
        <is>
          <t>Arterial</t>
        </is>
      </c>
      <c r="V389" s="31" t="inlineStr">
        <is>
          <t>NEW DEVELOPMENT RESULT</t>
        </is>
      </c>
      <c r="W389" s="31" t="n">
        <v>0.0009202243227473</v>
      </c>
    </row>
    <row r="390" ht="24" customHeight="1">
      <c r="A390" s="31" t="inlineStr">
        <is>
          <t>D022__DTT__8102</t>
        </is>
      </c>
      <c r="B390" s="31" t="inlineStr">
        <is>
          <t>D022</t>
        </is>
      </c>
      <c r="C390" s="31" t="inlineStr">
        <is>
          <t>DTT</t>
        </is>
      </c>
      <c r="D390" s="31" t="n">
        <v>8102</v>
      </c>
      <c r="E390" s="31" t="n">
        <v>906</v>
      </c>
      <c r="F390" s="33" t="n">
        <v>589.635761589404</v>
      </c>
      <c r="G390" s="33" t="n">
        <v>1588.016179075644</v>
      </c>
      <c r="H390" s="33" t="n">
        <v>3462.935982339956</v>
      </c>
      <c r="I390" s="33" t="n">
        <v>1059.5</v>
      </c>
      <c r="J390" s="33" t="n">
        <v>20.08278145695364</v>
      </c>
      <c r="K390" s="33" t="n">
        <v>277.4160206718346</v>
      </c>
      <c r="L390" s="33" t="n">
        <v>691.9830071004665</v>
      </c>
      <c r="M390" s="33" t="n">
        <v>1706540.081990413</v>
      </c>
      <c r="N390" s="33" t="n">
        <v>309549</v>
      </c>
      <c r="O390" s="34" t="n">
        <v>0.4070347437220502</v>
      </c>
      <c r="P390" s="34" t="n">
        <v>0.225632267100174</v>
      </c>
      <c r="Q390" s="34" t="n">
        <v>-0.07261875947314859</v>
      </c>
      <c r="R390" s="31" t="n">
        <v>1680</v>
      </c>
      <c r="S390" s="31" t="n">
        <v>200</v>
      </c>
      <c r="T390" s="31" t="inlineStr">
        <is>
          <t>C</t>
        </is>
      </c>
      <c r="U390" s="31" t="inlineStr">
        <is>
          <t>Arterial</t>
        </is>
      </c>
      <c r="V390" s="31" t="inlineStr">
        <is>
          <t>NEW DEVELOPMENT RESULT</t>
        </is>
      </c>
      <c r="W390" s="31" t="n">
        <v>0.0008884129716134</v>
      </c>
    </row>
    <row r="391" ht="24" customHeight="1">
      <c r="A391" s="31" t="inlineStr">
        <is>
          <t>D022__DTT__8103</t>
        </is>
      </c>
      <c r="B391" s="31" t="inlineStr">
        <is>
          <t>D022</t>
        </is>
      </c>
      <c r="C391" s="31" t="inlineStr">
        <is>
          <t>DTT</t>
        </is>
      </c>
      <c r="D391" s="31" t="n">
        <v>8103</v>
      </c>
      <c r="E391" s="31" t="n">
        <v>862</v>
      </c>
      <c r="F391" s="33" t="n">
        <v>525.822505800464</v>
      </c>
      <c r="G391" s="33" t="n">
        <v>1426.202160190341</v>
      </c>
      <c r="H391" s="33" t="n">
        <v>3473.699651972158</v>
      </c>
      <c r="I391" s="33" t="n">
        <v>1038.65</v>
      </c>
      <c r="J391" s="33" t="n">
        <v>1.801624129930394</v>
      </c>
      <c r="K391" s="33" t="n">
        <v>258.9924812030075</v>
      </c>
      <c r="L391" s="33" t="n">
        <v>641.0938738119668</v>
      </c>
      <c r="M391" s="33" t="n">
        <v>1485182.717735049</v>
      </c>
      <c r="N391" s="33" t="n">
        <v>267206</v>
      </c>
      <c r="O391" s="34" t="n">
        <v>0.3803879310344827</v>
      </c>
      <c r="P391" s="34" t="n">
        <v>0.2787653540729753</v>
      </c>
      <c r="Q391" s="34" t="n">
        <v>-0.0748905105806781</v>
      </c>
      <c r="R391" s="31" t="n">
        <v>1680</v>
      </c>
      <c r="S391" s="31" t="n">
        <v>200</v>
      </c>
      <c r="T391" s="31" t="inlineStr">
        <is>
          <t>C</t>
        </is>
      </c>
      <c r="U391" s="31" t="inlineStr">
        <is>
          <t>Arterial</t>
        </is>
      </c>
      <c r="V391" s="31" t="inlineStr">
        <is>
          <t>NEW DEVELOPMENT RESULT</t>
        </is>
      </c>
      <c r="W391" s="31" t="n">
        <v>0.000964649314487</v>
      </c>
    </row>
    <row r="392" ht="24" customHeight="1">
      <c r="A392" s="31" t="inlineStr">
        <is>
          <t>D022__ECO__8101</t>
        </is>
      </c>
      <c r="B392" s="31" t="inlineStr">
        <is>
          <t>D022</t>
        </is>
      </c>
      <c r="C392" s="31" t="inlineStr">
        <is>
          <t>ECO</t>
        </is>
      </c>
      <c r="D392" s="31" t="n">
        <v>8101</v>
      </c>
      <c r="E392" s="31" t="n">
        <v>876</v>
      </c>
      <c r="F392" s="33" t="n">
        <v>920.8972602739726</v>
      </c>
      <c r="G392" s="33" t="n">
        <v>1712.412722469323</v>
      </c>
      <c r="H392" s="33" t="n">
        <v>3203.720000000001</v>
      </c>
      <c r="I392" s="33" t="n">
        <v>1153</v>
      </c>
      <c r="J392" s="33" t="n">
        <v>345.3059360730593</v>
      </c>
      <c r="K392" s="33" t="n">
        <v>246.9867724867725</v>
      </c>
      <c r="L392" s="33" t="n">
        <v>607.6499770611385</v>
      </c>
      <c r="M392" s="33" t="n">
        <v>1729765.236212237</v>
      </c>
      <c r="N392" s="33" t="n">
        <v>328503</v>
      </c>
      <c r="O392" s="34" t="n">
        <v>0</v>
      </c>
      <c r="P392" s="34" t="n">
        <v>0.1656409733750271</v>
      </c>
      <c r="Q392" s="34" t="n">
        <v>0.0674018805729996</v>
      </c>
      <c r="R392" s="31" t="n">
        <v>1680</v>
      </c>
      <c r="S392" s="31" t="n">
        <v>200</v>
      </c>
      <c r="T392" s="31" t="inlineStr">
        <is>
          <t>C</t>
        </is>
      </c>
      <c r="U392" s="31" t="inlineStr">
        <is>
          <t>Arterial</t>
        </is>
      </c>
      <c r="V392" s="31" t="inlineStr">
        <is>
          <t>NEW DEVELOPMENT RESULT</t>
        </is>
      </c>
      <c r="W392" s="31" t="n">
        <v>0.0008657988937298</v>
      </c>
    </row>
    <row r="393" ht="24" customHeight="1">
      <c r="A393" s="31" t="inlineStr">
        <is>
          <t>D022__ECO__8102</t>
        </is>
      </c>
      <c r="B393" s="31" t="inlineStr">
        <is>
          <t>D022</t>
        </is>
      </c>
      <c r="C393" s="31" t="inlineStr">
        <is>
          <t>ECO</t>
        </is>
      </c>
      <c r="D393" s="31" t="n">
        <v>8102</v>
      </c>
      <c r="E393" s="31" t="n">
        <v>906</v>
      </c>
      <c r="F393" s="33" t="n">
        <v>910.8366445916116</v>
      </c>
      <c r="G393" s="33" t="n">
        <v>1699.971309706212</v>
      </c>
      <c r="H393" s="33" t="n">
        <v>3203.72</v>
      </c>
      <c r="I393" s="33" t="n">
        <v>1178</v>
      </c>
      <c r="J393" s="33" t="n">
        <v>338.9315673289183</v>
      </c>
      <c r="K393" s="33" t="n">
        <v>249.0180878552972</v>
      </c>
      <c r="L393" s="33" t="n">
        <v>613.1871982528231</v>
      </c>
      <c r="M393" s="33" t="n">
        <v>1777477.45231767</v>
      </c>
      <c r="N393" s="33" t="n">
        <v>319337</v>
      </c>
      <c r="O393" s="34" t="n">
        <v>0</v>
      </c>
      <c r="P393" s="34" t="n">
        <v>0.1640131753347269</v>
      </c>
      <c r="Q393" s="34" t="n">
        <v>0.0463861875827026</v>
      </c>
      <c r="R393" s="31" t="n">
        <v>1680</v>
      </c>
      <c r="S393" s="31" t="n">
        <v>200</v>
      </c>
      <c r="T393" s="31" t="inlineStr">
        <is>
          <t>C</t>
        </is>
      </c>
      <c r="U393" s="31" t="inlineStr">
        <is>
          <t>Arterial</t>
        </is>
      </c>
      <c r="V393" s="31" t="inlineStr">
        <is>
          <t>NEW DEVELOPMENT RESULT</t>
        </is>
      </c>
      <c r="W393" s="31" t="n">
        <v>0.0008877883541637</v>
      </c>
    </row>
    <row r="394" ht="24" customHeight="1">
      <c r="A394" s="31" t="inlineStr">
        <is>
          <t>D022__ECO__8103</t>
        </is>
      </c>
      <c r="B394" s="31" t="inlineStr">
        <is>
          <t>D022</t>
        </is>
      </c>
      <c r="C394" s="31" t="inlineStr">
        <is>
          <t>ECO</t>
        </is>
      </c>
      <c r="D394" s="31" t="n">
        <v>8103</v>
      </c>
      <c r="E394" s="31" t="n">
        <v>862</v>
      </c>
      <c r="F394" s="33" t="n">
        <v>849.2633410672854</v>
      </c>
      <c r="G394" s="33" t="n">
        <v>1700.313723182655</v>
      </c>
      <c r="H394" s="33" t="n">
        <v>3203.720000000001</v>
      </c>
      <c r="I394" s="33" t="n">
        <v>1101</v>
      </c>
      <c r="J394" s="33" t="n">
        <v>277.3329466357309</v>
      </c>
      <c r="K394" s="33" t="n">
        <v>247.0275689223058</v>
      </c>
      <c r="L394" s="33" t="n">
        <v>607.6764235974201</v>
      </c>
      <c r="M394" s="33" t="n">
        <v>1708133.322398819</v>
      </c>
      <c r="N394" s="33" t="n">
        <v>315953</v>
      </c>
      <c r="O394" s="34" t="n">
        <v>0</v>
      </c>
      <c r="P394" s="34" t="n">
        <v>0.141830913139282</v>
      </c>
      <c r="Q394" s="34" t="n">
        <v>0.0577289662322851</v>
      </c>
      <c r="R394" s="31" t="n">
        <v>1680</v>
      </c>
      <c r="S394" s="31" t="n">
        <v>200</v>
      </c>
      <c r="T394" s="31" t="inlineStr">
        <is>
          <t>C</t>
        </is>
      </c>
      <c r="U394" s="31" t="inlineStr">
        <is>
          <t>Arterial</t>
        </is>
      </c>
      <c r="V394" s="31" t="inlineStr">
        <is>
          <t>NEW DEVELOPMENT RESULT</t>
        </is>
      </c>
      <c r="W394" s="31" t="n">
        <v>0.0008872089460259</v>
      </c>
    </row>
    <row r="395" ht="24" customHeight="1">
      <c r="A395" s="31" t="inlineStr">
        <is>
          <t>D022__TECO05__8101</t>
        </is>
      </c>
      <c r="B395" s="31" t="inlineStr">
        <is>
          <t>D022</t>
        </is>
      </c>
      <c r="C395" s="31" t="inlineStr">
        <is>
          <t>TECO05</t>
        </is>
      </c>
      <c r="D395" s="31" t="n">
        <v>8101</v>
      </c>
      <c r="E395" s="31" t="n">
        <v>876</v>
      </c>
      <c r="F395" s="33" t="n">
        <v>541.0810502283105</v>
      </c>
      <c r="G395" s="33" t="n">
        <v>1455.153047946077</v>
      </c>
      <c r="H395" s="33" t="n">
        <v>3373.17899543379</v>
      </c>
      <c r="I395" s="33" t="n">
        <v>982.25</v>
      </c>
      <c r="J395" s="33" t="n">
        <v>12.2283105022831</v>
      </c>
      <c r="K395" s="33" t="n">
        <v>246.9867724867725</v>
      </c>
      <c r="L395" s="33" t="n">
        <v>607.6499770611385</v>
      </c>
      <c r="M395" s="33" t="n">
        <v>1504405.761329874</v>
      </c>
      <c r="N395" s="33" t="n">
        <v>272228</v>
      </c>
      <c r="O395" s="34" t="n">
        <v>0.284247853676745</v>
      </c>
      <c r="P395" s="34" t="n">
        <v>0.2371991577830029</v>
      </c>
      <c r="Q395" s="34" t="n">
        <v>-0.0409258297858649</v>
      </c>
      <c r="R395" s="31" t="n">
        <v>1680</v>
      </c>
      <c r="S395" s="31" t="n">
        <v>200</v>
      </c>
      <c r="T395" s="31" t="inlineStr">
        <is>
          <t>C</t>
        </is>
      </c>
      <c r="U395" s="31" t="inlineStr">
        <is>
          <t>Arterial</t>
        </is>
      </c>
      <c r="V395" s="31" t="inlineStr">
        <is>
          <t>NEW DEVELOPMENT RESULT</t>
        </is>
      </c>
      <c r="W395" s="31" t="n">
        <v>0.0009562151895891</v>
      </c>
    </row>
    <row r="396" ht="24" customHeight="1">
      <c r="A396" s="31" t="inlineStr">
        <is>
          <t>D022__TECO05__8102</t>
        </is>
      </c>
      <c r="B396" s="31" t="inlineStr">
        <is>
          <t>D022</t>
        </is>
      </c>
      <c r="C396" s="31" t="inlineStr">
        <is>
          <t>TECO05</t>
        </is>
      </c>
      <c r="D396" s="31" t="n">
        <v>8102</v>
      </c>
      <c r="E396" s="31" t="n">
        <v>906</v>
      </c>
      <c r="F396" s="33" t="n">
        <v>567.3830022075056</v>
      </c>
      <c r="G396" s="33" t="n">
        <v>1534.918592679508</v>
      </c>
      <c r="H396" s="33" t="n">
        <v>3418.348410596026</v>
      </c>
      <c r="I396" s="33" t="n">
        <v>991.75</v>
      </c>
      <c r="J396" s="33" t="n">
        <v>17.46467991169978</v>
      </c>
      <c r="K396" s="33" t="n">
        <v>263.0516795865633</v>
      </c>
      <c r="L396" s="33" t="n">
        <v>651.1337353121103</v>
      </c>
      <c r="M396" s="33" t="n">
        <v>1642625.000533421</v>
      </c>
      <c r="N396" s="33" t="n">
        <v>286756</v>
      </c>
      <c r="O396" s="34" t="n">
        <v>0.3529723055212559</v>
      </c>
      <c r="P396" s="34" t="n">
        <v>0.2807271775764752</v>
      </c>
      <c r="Q396" s="34" t="n">
        <v>-0.0845285403145558</v>
      </c>
      <c r="R396" s="31" t="n">
        <v>1680</v>
      </c>
      <c r="S396" s="31" t="n">
        <v>200</v>
      </c>
      <c r="T396" s="31" t="inlineStr">
        <is>
          <t>C</t>
        </is>
      </c>
      <c r="U396" s="31" t="inlineStr">
        <is>
          <t>Arterial</t>
        </is>
      </c>
      <c r="V396" s="31" t="inlineStr">
        <is>
          <t>NEW DEVELOPMENT RESULT</t>
        </is>
      </c>
      <c r="W396" s="31" t="n">
        <v>0.0009283673743900001</v>
      </c>
    </row>
    <row r="397" ht="24" customHeight="1">
      <c r="A397" s="31" t="inlineStr">
        <is>
          <t>D022__TECO05__8103</t>
        </is>
      </c>
      <c r="B397" s="31" t="inlineStr">
        <is>
          <t>D022</t>
        </is>
      </c>
      <c r="C397" s="31" t="inlineStr">
        <is>
          <t>TECO05</t>
        </is>
      </c>
      <c r="D397" s="31" t="n">
        <v>8103</v>
      </c>
      <c r="E397" s="31" t="n">
        <v>862</v>
      </c>
      <c r="F397" s="33" t="n">
        <v>570.1044083526682</v>
      </c>
      <c r="G397" s="33" t="n">
        <v>1528.713780236637</v>
      </c>
      <c r="H397" s="33" t="n">
        <v>3375.57861948956</v>
      </c>
      <c r="I397" s="33" t="n">
        <v>1064</v>
      </c>
      <c r="J397" s="33" t="n">
        <v>18.51972157772622</v>
      </c>
      <c r="K397" s="33" t="n">
        <v>252.5914786967418</v>
      </c>
      <c r="L397" s="33" t="n">
        <v>622.5723082593969</v>
      </c>
      <c r="M397" s="33" t="n">
        <v>1566157.62955948</v>
      </c>
      <c r="N397" s="33" t="n">
        <v>286463</v>
      </c>
      <c r="O397" s="34" t="n">
        <v>0.2833254605573925</v>
      </c>
      <c r="P397" s="34" t="n">
        <v>0.2802342673189741</v>
      </c>
      <c r="Q397" s="34" t="n">
        <v>-0.1038639594296253</v>
      </c>
      <c r="R397" s="31" t="n">
        <v>1680</v>
      </c>
      <c r="S397" s="31" t="n">
        <v>200</v>
      </c>
      <c r="T397" s="31" t="inlineStr">
        <is>
          <t>C</t>
        </is>
      </c>
      <c r="U397" s="31" t="inlineStr">
        <is>
          <t>Arterial</t>
        </is>
      </c>
      <c r="V397" s="31" t="inlineStr">
        <is>
          <t>NEW DEVELOPMENT RESULT</t>
        </is>
      </c>
      <c r="W397" s="31" t="n">
        <v>0.0009474556424659</v>
      </c>
    </row>
    <row r="398" ht="24" customHeight="1">
      <c r="A398" s="31" t="inlineStr">
        <is>
          <t>D022__TECO10__8101</t>
        </is>
      </c>
      <c r="B398" s="31" t="inlineStr">
        <is>
          <t>D022</t>
        </is>
      </c>
      <c r="C398" s="31" t="inlineStr">
        <is>
          <t>TECO10</t>
        </is>
      </c>
      <c r="D398" s="31" t="n">
        <v>8101</v>
      </c>
      <c r="E398" s="31" t="n">
        <v>876</v>
      </c>
      <c r="F398" s="33" t="n">
        <v>637.1426940639269</v>
      </c>
      <c r="G398" s="33" t="n">
        <v>1756.468548818188</v>
      </c>
      <c r="H398" s="33" t="n">
        <v>3502.697089041096</v>
      </c>
      <c r="I398" s="33" t="n">
        <v>1276.25</v>
      </c>
      <c r="J398" s="33" t="n">
        <v>1.743150684931507</v>
      </c>
      <c r="K398" s="33" t="n">
        <v>361.8174603174603</v>
      </c>
      <c r="L398" s="33" t="n">
        <v>924.1292945459776</v>
      </c>
      <c r="M398" s="33" t="n">
        <v>1887987.322103112</v>
      </c>
      <c r="N398" s="33" t="n">
        <v>394888</v>
      </c>
      <c r="O398" s="34" t="n">
        <v>0.2550108459869848</v>
      </c>
      <c r="P398" s="34" t="n">
        <v>0.3315598640094774</v>
      </c>
      <c r="Q398" s="34" t="n">
        <v>-0.2162845866514694</v>
      </c>
      <c r="R398" s="31" t="n">
        <v>1680</v>
      </c>
      <c r="S398" s="31" t="n">
        <v>200</v>
      </c>
      <c r="T398" s="31" t="inlineStr">
        <is>
          <t>C</t>
        </is>
      </c>
      <c r="U398" s="31" t="inlineStr">
        <is>
          <t>Arterial</t>
        </is>
      </c>
      <c r="V398" s="31" t="inlineStr">
        <is>
          <t>NEW DEVELOPMENT RESULT</t>
        </is>
      </c>
      <c r="W398" s="31" t="n">
        <v>0.0007782998563493</v>
      </c>
    </row>
    <row r="399" ht="24" customHeight="1">
      <c r="A399" s="31" t="inlineStr">
        <is>
          <t>D022__TECO10__8102</t>
        </is>
      </c>
      <c r="B399" s="31" t="inlineStr">
        <is>
          <t>D022</t>
        </is>
      </c>
      <c r="C399" s="31" t="inlineStr">
        <is>
          <t>TECO10</t>
        </is>
      </c>
      <c r="D399" s="31" t="n">
        <v>8102</v>
      </c>
      <c r="E399" s="31" t="n">
        <v>906</v>
      </c>
      <c r="F399" s="33" t="n">
        <v>651.8465783664459</v>
      </c>
      <c r="G399" s="33" t="n">
        <v>1792.328653482515</v>
      </c>
      <c r="H399" s="33" t="n">
        <v>3504.575121412804</v>
      </c>
      <c r="I399" s="33" t="n">
        <v>1162.5</v>
      </c>
      <c r="J399" s="33" t="n">
        <v>2.187637969094923</v>
      </c>
      <c r="K399" s="33" t="n">
        <v>340.9069767441861</v>
      </c>
      <c r="L399" s="33" t="n">
        <v>863.9309433900657</v>
      </c>
      <c r="M399" s="33" t="n">
        <v>1958191.035147114</v>
      </c>
      <c r="N399" s="33" t="n">
        <v>386261</v>
      </c>
      <c r="O399" s="34" t="n">
        <v>0.3150742037685509</v>
      </c>
      <c r="P399" s="34" t="n">
        <v>0.3434863479998766</v>
      </c>
      <c r="Q399" s="34" t="n">
        <v>-0.2344516962724132</v>
      </c>
      <c r="R399" s="31" t="n">
        <v>1680</v>
      </c>
      <c r="S399" s="31" t="n">
        <v>200</v>
      </c>
      <c r="T399" s="31" t="inlineStr">
        <is>
          <t>C</t>
        </is>
      </c>
      <c r="U399" s="31" t="inlineStr">
        <is>
          <t>Arterial</t>
        </is>
      </c>
      <c r="V399" s="31" t="inlineStr">
        <is>
          <t>NEW DEVELOPMENT RESULT</t>
        </is>
      </c>
      <c r="W399" s="31" t="n">
        <v>0.0007960123303331</v>
      </c>
    </row>
    <row r="400" ht="24" customHeight="1">
      <c r="A400" s="31" t="inlineStr">
        <is>
          <t>D022__TECO10__8103</t>
        </is>
      </c>
      <c r="B400" s="31" t="inlineStr">
        <is>
          <t>D022</t>
        </is>
      </c>
      <c r="C400" s="31" t="inlineStr">
        <is>
          <t>TECO10</t>
        </is>
      </c>
      <c r="D400" s="31" t="n">
        <v>8103</v>
      </c>
      <c r="E400" s="31" t="n">
        <v>862</v>
      </c>
      <c r="F400" s="33" t="n">
        <v>749.776102088167</v>
      </c>
      <c r="G400" s="33" t="n">
        <v>2016.514308163682</v>
      </c>
      <c r="H400" s="33" t="n">
        <v>3542.51662412993</v>
      </c>
      <c r="I400" s="33" t="n">
        <v>1757</v>
      </c>
      <c r="J400" s="33" t="n">
        <v>2.529002320185615</v>
      </c>
      <c r="K400" s="33" t="n">
        <v>428.6365914786968</v>
      </c>
      <c r="L400" s="33" t="n">
        <v>1103.700265625892</v>
      </c>
      <c r="M400" s="33" t="n">
        <v>2178611.739621825</v>
      </c>
      <c r="N400" s="33" t="n">
        <v>497807</v>
      </c>
      <c r="O400" s="34" t="n">
        <v>0.4161415623651273</v>
      </c>
      <c r="P400" s="34" t="n">
        <v>0.4949337322668454</v>
      </c>
      <c r="Q400" s="34" t="n">
        <v>-0.2911921737256738</v>
      </c>
      <c r="R400" s="31" t="n">
        <v>1680</v>
      </c>
      <c r="S400" s="31" t="n">
        <v>200</v>
      </c>
      <c r="T400" s="31" t="inlineStr">
        <is>
          <t>C</t>
        </is>
      </c>
      <c r="U400" s="31" t="inlineStr">
        <is>
          <t>Arterial</t>
        </is>
      </c>
      <c r="V400" s="31" t="inlineStr">
        <is>
          <t>NEW DEVELOPMENT RESULT</t>
        </is>
      </c>
      <c r="W400" s="31" t="n">
        <v>0.0007050284896481</v>
      </c>
    </row>
    <row r="401" ht="24" customHeight="1">
      <c r="A401" s="31" t="inlineStr">
        <is>
          <t>D022__TECO15__8101</t>
        </is>
      </c>
      <c r="B401" s="31" t="inlineStr">
        <is>
          <t>D022</t>
        </is>
      </c>
      <c r="C401" s="31" t="inlineStr">
        <is>
          <t>TECO15</t>
        </is>
      </c>
      <c r="D401" s="31" t="n">
        <v>8101</v>
      </c>
      <c r="E401" s="31" t="n">
        <v>876</v>
      </c>
      <c r="F401" s="33" t="n">
        <v>779.7385844748859</v>
      </c>
      <c r="G401" s="33" t="n">
        <v>2166.603827275661</v>
      </c>
      <c r="H401" s="33" t="n">
        <v>3422.868801369863</v>
      </c>
      <c r="I401" s="33" t="n">
        <v>2079.25</v>
      </c>
      <c r="J401" s="33" t="n">
        <v>14.03424657534247</v>
      </c>
      <c r="K401" s="33" t="n">
        <v>671.9973544973545</v>
      </c>
      <c r="L401" s="33" t="n">
        <v>1751.993983239926</v>
      </c>
      <c r="M401" s="33" t="n">
        <v>2560198.678358172</v>
      </c>
      <c r="N401" s="33" t="n">
        <v>620854</v>
      </c>
      <c r="O401" s="34" t="n">
        <v>0.2258643915581499</v>
      </c>
      <c r="P401" s="34" t="n">
        <v>0.3357770482006074</v>
      </c>
      <c r="Q401" s="34" t="n">
        <v>-0.2594773552410933</v>
      </c>
      <c r="R401" s="31" t="n">
        <v>1680</v>
      </c>
      <c r="S401" s="31" t="n">
        <v>200</v>
      </c>
      <c r="T401" s="31" t="inlineStr">
        <is>
          <t>C</t>
        </is>
      </c>
      <c r="U401" s="31" t="inlineStr">
        <is>
          <t>Arterial</t>
        </is>
      </c>
      <c r="V401" s="31" t="inlineStr">
        <is>
          <t>NEW DEVELOPMENT RESULT</t>
        </is>
      </c>
      <c r="W401" s="31" t="n">
        <v>0.0006247532302638</v>
      </c>
    </row>
    <row r="402" ht="24" customHeight="1">
      <c r="A402" s="31" t="inlineStr">
        <is>
          <t>D022__TECO15__8102</t>
        </is>
      </c>
      <c r="B402" s="31" t="inlineStr">
        <is>
          <t>D022</t>
        </is>
      </c>
      <c r="C402" s="31" t="inlineStr">
        <is>
          <t>TECO15</t>
        </is>
      </c>
      <c r="D402" s="31" t="n">
        <v>8102</v>
      </c>
      <c r="E402" s="31" t="n">
        <v>906</v>
      </c>
      <c r="F402" s="33" t="n">
        <v>759.280353200883</v>
      </c>
      <c r="G402" s="33" t="n">
        <v>2105.345437760284</v>
      </c>
      <c r="H402" s="33" t="n">
        <v>3487.654116997792</v>
      </c>
      <c r="I402" s="33" t="n">
        <v>1610.25</v>
      </c>
      <c r="J402" s="33" t="n">
        <v>5.3719646799117</v>
      </c>
      <c r="K402" s="33" t="n">
        <v>477.6434108527132</v>
      </c>
      <c r="L402" s="33" t="n">
        <v>1234.551324840103</v>
      </c>
      <c r="M402" s="33" t="n">
        <v>2385214.329323938</v>
      </c>
      <c r="N402" s="33" t="n">
        <v>524952</v>
      </c>
      <c r="O402" s="34" t="n">
        <v>0.2259393124317054</v>
      </c>
      <c r="P402" s="34" t="n">
        <v>0.3778088757903464</v>
      </c>
      <c r="Q402" s="34" t="n">
        <v>-0.2720931928533737</v>
      </c>
      <c r="R402" s="31" t="n">
        <v>1680</v>
      </c>
      <c r="S402" s="31" t="n">
        <v>200</v>
      </c>
      <c r="T402" s="31" t="inlineStr">
        <is>
          <t>C</t>
        </is>
      </c>
      <c r="U402" s="31" t="inlineStr">
        <is>
          <t>Arterial</t>
        </is>
      </c>
      <c r="V402" s="31" t="inlineStr">
        <is>
          <t>NEW DEVELOPMENT RESULT</t>
        </is>
      </c>
      <c r="W402" s="31" t="n">
        <v>0.0006674296281654</v>
      </c>
    </row>
    <row r="403" ht="24" customHeight="1">
      <c r="A403" s="31" t="inlineStr">
        <is>
          <t>D022__TECO15__8103</t>
        </is>
      </c>
      <c r="B403" s="31" t="inlineStr">
        <is>
          <t>D022</t>
        </is>
      </c>
      <c r="C403" s="31" t="inlineStr">
        <is>
          <t>TECO15</t>
        </is>
      </c>
      <c r="D403" s="31" t="n">
        <v>8103</v>
      </c>
      <c r="E403" s="31" t="n">
        <v>862</v>
      </c>
      <c r="F403" s="33" t="n">
        <v>787.8213457076566</v>
      </c>
      <c r="G403" s="33" t="n">
        <v>2159.596708262015</v>
      </c>
      <c r="H403" s="33" t="n">
        <v>3517.460580046404</v>
      </c>
      <c r="I403" s="33" t="n">
        <v>1694.799999999999</v>
      </c>
      <c r="J403" s="33" t="n">
        <v>1.854988399071926</v>
      </c>
      <c r="K403" s="33" t="n">
        <v>606.5087719298245</v>
      </c>
      <c r="L403" s="33" t="n">
        <v>1579.08778381983</v>
      </c>
      <c r="M403" s="33" t="n">
        <v>2491628.38826597</v>
      </c>
      <c r="N403" s="33" t="n">
        <v>597319</v>
      </c>
      <c r="O403" s="34" t="n">
        <v>0.3227969348659004</v>
      </c>
      <c r="P403" s="34" t="n">
        <v>0.4293317055826973</v>
      </c>
      <c r="Q403" s="34" t="n">
        <v>-0.3418023241566214</v>
      </c>
      <c r="R403" s="31" t="n">
        <v>1680</v>
      </c>
      <c r="S403" s="31" t="n">
        <v>200</v>
      </c>
      <c r="T403" s="31" t="inlineStr">
        <is>
          <t>C</t>
        </is>
      </c>
      <c r="U403" s="31" t="inlineStr">
        <is>
          <t>Arterial</t>
        </is>
      </c>
      <c r="V403" s="31" t="inlineStr">
        <is>
          <t>NEW DEVELOPMENT RESULT</t>
        </is>
      </c>
      <c r="W403" s="31" t="n">
        <v>0.000631576975396</v>
      </c>
    </row>
    <row r="404" ht="24" customHeight="1">
      <c r="A404" s="31" t="inlineStr">
        <is>
          <t>D023__SP__8101</t>
        </is>
      </c>
      <c r="B404" s="31" t="inlineStr">
        <is>
          <t>D023</t>
        </is>
      </c>
      <c r="C404" s="31" t="inlineStr">
        <is>
          <t>SP</t>
        </is>
      </c>
      <c r="D404" s="31" t="n">
        <v>8101</v>
      </c>
      <c r="E404" s="31" t="n">
        <v>876</v>
      </c>
      <c r="F404" s="33" t="n">
        <v>1409.590182648402</v>
      </c>
      <c r="G404" s="33" t="n">
        <v>2155.494588134603</v>
      </c>
      <c r="H404" s="33" t="n">
        <v>3203.720000000001</v>
      </c>
      <c r="I404" s="33" t="n">
        <v>2003.5</v>
      </c>
      <c r="J404" s="33" t="n">
        <v>684.5856164383562</v>
      </c>
      <c r="K404" s="33" t="n">
        <v>236.9867724867725</v>
      </c>
      <c r="L404" s="33" t="n">
        <v>578.6863631529501</v>
      </c>
      <c r="M404" s="33" t="n">
        <v>2106956.704477726</v>
      </c>
      <c r="N404" s="33" t="n">
        <v>481832</v>
      </c>
      <c r="O404" s="34" t="n">
        <v>0</v>
      </c>
      <c r="P404" s="34" t="n">
        <v>0.0145060347342963</v>
      </c>
      <c r="Q404" s="34" t="n">
        <v>0.0017784039108109</v>
      </c>
      <c r="R404" s="31" t="n">
        <v>1680</v>
      </c>
      <c r="S404" s="31" t="n">
        <v>200</v>
      </c>
      <c r="T404" s="31" t="inlineStr">
        <is>
          <t>L</t>
        </is>
      </c>
      <c r="U404" s="31" t="inlineStr">
        <is>
          <t>Balanced</t>
        </is>
      </c>
      <c r="V404" s="31" t="inlineStr">
        <is>
          <t>NEW DEVELOPMENT RESULT</t>
        </is>
      </c>
      <c r="W404" s="31" t="n">
        <v>0.0006897155304282999</v>
      </c>
    </row>
    <row r="405" ht="24" customHeight="1">
      <c r="A405" s="31" t="inlineStr">
        <is>
          <t>D023__SP__8102</t>
        </is>
      </c>
      <c r="B405" s="31" t="inlineStr">
        <is>
          <t>D023</t>
        </is>
      </c>
      <c r="C405" s="31" t="inlineStr">
        <is>
          <t>SP</t>
        </is>
      </c>
      <c r="D405" s="31" t="n">
        <v>8102</v>
      </c>
      <c r="E405" s="31" t="n">
        <v>906</v>
      </c>
      <c r="F405" s="33" t="n">
        <v>1386.082781456954</v>
      </c>
      <c r="G405" s="33" t="n">
        <v>2153.771022081836</v>
      </c>
      <c r="H405" s="33" t="n">
        <v>3203.72</v>
      </c>
      <c r="I405" s="33" t="n">
        <v>2027</v>
      </c>
      <c r="J405" s="33" t="n">
        <v>661.8520971302428</v>
      </c>
      <c r="K405" s="33" t="n">
        <v>238.7777777777778</v>
      </c>
      <c r="L405" s="33" t="n">
        <v>583.9838383188488</v>
      </c>
      <c r="M405" s="33" t="n">
        <v>2177318.291435537</v>
      </c>
      <c r="N405" s="33" t="n">
        <v>474374</v>
      </c>
      <c r="O405" s="34" t="n">
        <v>0</v>
      </c>
      <c r="P405" s="34" t="n">
        <v>0.0225603535823422</v>
      </c>
      <c r="Q405" s="34" t="n">
        <v>-0.0072890209881627</v>
      </c>
      <c r="R405" s="31" t="n">
        <v>1680</v>
      </c>
      <c r="S405" s="31" t="n">
        <v>200</v>
      </c>
      <c r="T405" s="31" t="inlineStr">
        <is>
          <t>L</t>
        </is>
      </c>
      <c r="U405" s="31" t="inlineStr">
        <is>
          <t>Balanced</t>
        </is>
      </c>
      <c r="V405" s="31" t="inlineStr">
        <is>
          <t>NEW DEVELOPMENT RESULT</t>
        </is>
      </c>
      <c r="W405" s="31" t="n">
        <v>0.0007034392265704</v>
      </c>
    </row>
    <row r="406" ht="24" customHeight="1">
      <c r="A406" s="31" t="inlineStr">
        <is>
          <t>D023__SP__8103</t>
        </is>
      </c>
      <c r="B406" s="31" t="inlineStr">
        <is>
          <t>D023</t>
        </is>
      </c>
      <c r="C406" s="31" t="inlineStr">
        <is>
          <t>SP</t>
        </is>
      </c>
      <c r="D406" s="31" t="n">
        <v>8103</v>
      </c>
      <c r="E406" s="31" t="n">
        <v>862</v>
      </c>
      <c r="F406" s="33" t="n">
        <v>1318.317865429234</v>
      </c>
      <c r="G406" s="33" t="n">
        <v>2155.62009480528</v>
      </c>
      <c r="H406" s="33" t="n">
        <v>3203.720000000001</v>
      </c>
      <c r="I406" s="33" t="n">
        <v>1931</v>
      </c>
      <c r="J406" s="33" t="n">
        <v>593.4106728538283</v>
      </c>
      <c r="K406" s="33" t="n">
        <v>237.0275689223058</v>
      </c>
      <c r="L406" s="33" t="n">
        <v>579.2319598187086</v>
      </c>
      <c r="M406" s="33" t="n">
        <v>2089258.073689816</v>
      </c>
      <c r="N406" s="33" t="n">
        <v>466746</v>
      </c>
      <c r="O406" s="34" t="n">
        <v>0</v>
      </c>
      <c r="P406" s="34" t="n">
        <v>0.0155482916094154</v>
      </c>
      <c r="Q406" s="34" t="n">
        <v>0.0003530684847753</v>
      </c>
      <c r="R406" s="31" t="n">
        <v>1680</v>
      </c>
      <c r="S406" s="31" t="n">
        <v>200</v>
      </c>
      <c r="T406" s="31" t="inlineStr">
        <is>
          <t>L</t>
        </is>
      </c>
      <c r="U406" s="31" t="inlineStr">
        <is>
          <t>Balanced</t>
        </is>
      </c>
      <c r="V406" s="31" t="inlineStr">
        <is>
          <t>NEW DEVELOPMENT RESULT</t>
        </is>
      </c>
      <c r="W406" s="31" t="n">
        <v>0.0007038621077499</v>
      </c>
    </row>
    <row r="407" ht="24" customHeight="1">
      <c r="A407" s="31" t="inlineStr">
        <is>
          <t>D023__DTT__8101</t>
        </is>
      </c>
      <c r="B407" s="31" t="inlineStr">
        <is>
          <t>D023</t>
        </is>
      </c>
      <c r="C407" s="31" t="inlineStr">
        <is>
          <t>DTT</t>
        </is>
      </c>
      <c r="D407" s="31" t="n">
        <v>8101</v>
      </c>
      <c r="E407" s="31" t="n">
        <v>876</v>
      </c>
      <c r="F407" s="33" t="n">
        <v>539.8196347031964</v>
      </c>
      <c r="G407" s="33" t="n">
        <v>1478.767196320954</v>
      </c>
      <c r="H407" s="33" t="n">
        <v>3553.701769406392</v>
      </c>
      <c r="I407" s="33" t="n">
        <v>779.25</v>
      </c>
      <c r="J407" s="33" t="n">
        <v>3.174657534246576</v>
      </c>
      <c r="K407" s="33" t="n">
        <v>236.9867724867725</v>
      </c>
      <c r="L407" s="33" t="n">
        <v>578.6863631529501</v>
      </c>
      <c r="M407" s="33" t="n">
        <v>1514143.509248971</v>
      </c>
      <c r="N407" s="33" t="n">
        <v>303608</v>
      </c>
      <c r="O407" s="34" t="n">
        <v>0.4346975240364162</v>
      </c>
      <c r="P407" s="34" t="n">
        <v>0.3073509601245053</v>
      </c>
      <c r="Q407" s="34" t="n">
        <v>0.08800519076690951</v>
      </c>
      <c r="R407" s="31" t="n">
        <v>1680</v>
      </c>
      <c r="S407" s="31" t="n">
        <v>200</v>
      </c>
      <c r="T407" s="31" t="inlineStr">
        <is>
          <t>L</t>
        </is>
      </c>
      <c r="U407" s="31" t="inlineStr">
        <is>
          <t>Balanced</t>
        </is>
      </c>
      <c r="V407" s="31" t="inlineStr">
        <is>
          <t>NEW DEVELOPMENT RESULT</t>
        </is>
      </c>
      <c r="W407" s="31" t="n">
        <v>0.0008659828415428</v>
      </c>
    </row>
    <row r="408" ht="24" customHeight="1">
      <c r="A408" s="31" t="inlineStr">
        <is>
          <t>D023__DTT__8102</t>
        </is>
      </c>
      <c r="B408" s="31" t="inlineStr">
        <is>
          <t>D023</t>
        </is>
      </c>
      <c r="C408" s="31" t="inlineStr">
        <is>
          <t>DTT</t>
        </is>
      </c>
      <c r="D408" s="31" t="n">
        <v>8102</v>
      </c>
      <c r="E408" s="31" t="n">
        <v>906</v>
      </c>
      <c r="F408" s="33" t="n">
        <v>587.8366445916115</v>
      </c>
      <c r="G408" s="33" t="n">
        <v>1593.049560146886</v>
      </c>
      <c r="H408" s="33" t="n">
        <v>3568.553410596026</v>
      </c>
      <c r="I408" s="33" t="n">
        <v>842.75</v>
      </c>
      <c r="J408" s="33" t="n">
        <v>10.81456953642384</v>
      </c>
      <c r="K408" s="33" t="n">
        <v>238.7777777777778</v>
      </c>
      <c r="L408" s="33" t="n">
        <v>583.9838383188488</v>
      </c>
      <c r="M408" s="33" t="n">
        <v>1669304.646922473</v>
      </c>
      <c r="N408" s="33" t="n">
        <v>317194</v>
      </c>
      <c r="O408" s="34" t="n">
        <v>0.5057359043202343</v>
      </c>
      <c r="P408" s="34" t="n">
        <v>0.2986567678377837</v>
      </c>
      <c r="Q408" s="34" t="n">
        <v>0.0864071090161049</v>
      </c>
      <c r="R408" s="31" t="n">
        <v>1680</v>
      </c>
      <c r="S408" s="31" t="n">
        <v>200</v>
      </c>
      <c r="T408" s="31" t="inlineStr">
        <is>
          <t>L</t>
        </is>
      </c>
      <c r="U408" s="31" t="inlineStr">
        <is>
          <t>Balanced</t>
        </is>
      </c>
      <c r="V408" s="31" t="inlineStr">
        <is>
          <t>NEW DEVELOPMENT RESULT</t>
        </is>
      </c>
      <c r="W408" s="31" t="n">
        <v>0.0008582628058178</v>
      </c>
    </row>
    <row r="409" ht="24" customHeight="1">
      <c r="A409" s="31" t="inlineStr">
        <is>
          <t>D023__DTT__8103</t>
        </is>
      </c>
      <c r="B409" s="31" t="inlineStr">
        <is>
          <t>D023</t>
        </is>
      </c>
      <c r="C409" s="31" t="inlineStr">
        <is>
          <t>DTT</t>
        </is>
      </c>
      <c r="D409" s="31" t="n">
        <v>8103</v>
      </c>
      <c r="E409" s="31" t="n">
        <v>862</v>
      </c>
      <c r="F409" s="33" t="n">
        <v>525.8422273781903</v>
      </c>
      <c r="G409" s="33" t="n">
        <v>1437.2332101146</v>
      </c>
      <c r="H409" s="33" t="n">
        <v>3581.645707656613</v>
      </c>
      <c r="I409" s="33" t="n">
        <v>795.9499999999999</v>
      </c>
      <c r="J409" s="33" t="n">
        <v>1.836426914153132</v>
      </c>
      <c r="K409" s="33" t="n">
        <v>237.0275689223058</v>
      </c>
      <c r="L409" s="33" t="n">
        <v>579.2319598187086</v>
      </c>
      <c r="M409" s="33" t="n">
        <v>1470008.57908645</v>
      </c>
      <c r="N409" s="33" t="n">
        <v>278123</v>
      </c>
      <c r="O409" s="34" t="n">
        <v>0.4400886313277655</v>
      </c>
      <c r="P409" s="34" t="n">
        <v>0.3150380467089691</v>
      </c>
      <c r="Q409" s="34" t="n">
        <v>0.0816724199906045</v>
      </c>
      <c r="R409" s="31" t="n">
        <v>1680</v>
      </c>
      <c r="S409" s="31" t="n">
        <v>200</v>
      </c>
      <c r="T409" s="31" t="inlineStr">
        <is>
          <t>L</t>
        </is>
      </c>
      <c r="U409" s="31" t="inlineStr">
        <is>
          <t>Balanced</t>
        </is>
      </c>
      <c r="V409" s="31" t="inlineStr">
        <is>
          <t>NEW DEVELOPMENT RESULT</t>
        </is>
      </c>
      <c r="W409" s="31" t="n">
        <v>0.0009029138853024001</v>
      </c>
    </row>
    <row r="410" ht="24" customHeight="1">
      <c r="A410" s="31" t="inlineStr">
        <is>
          <t>D023__ECO__8101</t>
        </is>
      </c>
      <c r="B410" s="31" t="inlineStr">
        <is>
          <t>D023</t>
        </is>
      </c>
      <c r="C410" s="31" t="inlineStr">
        <is>
          <t>ECO</t>
        </is>
      </c>
      <c r="D410" s="31" t="n">
        <v>8101</v>
      </c>
      <c r="E410" s="31" t="n">
        <v>876</v>
      </c>
      <c r="F410" s="33" t="n">
        <v>1409.590182648402</v>
      </c>
      <c r="G410" s="33" t="n">
        <v>2155.494588134603</v>
      </c>
      <c r="H410" s="33" t="n">
        <v>3203.720000000001</v>
      </c>
      <c r="I410" s="33" t="n">
        <v>2003.5</v>
      </c>
      <c r="J410" s="33" t="n">
        <v>684.5856164383562</v>
      </c>
      <c r="K410" s="33" t="n">
        <v>236.9867724867725</v>
      </c>
      <c r="L410" s="33" t="n">
        <v>578.6863631529501</v>
      </c>
      <c r="M410" s="33" t="n">
        <v>2106956.704477726</v>
      </c>
      <c r="N410" s="33" t="n">
        <v>481832</v>
      </c>
      <c r="O410" s="34" t="n">
        <v>0</v>
      </c>
      <c r="P410" s="34" t="n">
        <v>0.0145060347342963</v>
      </c>
      <c r="Q410" s="34" t="n">
        <v>0.0017784039108109</v>
      </c>
      <c r="R410" s="31" t="n">
        <v>1680</v>
      </c>
      <c r="S410" s="31" t="n">
        <v>200</v>
      </c>
      <c r="T410" s="31" t="inlineStr">
        <is>
          <t>L</t>
        </is>
      </c>
      <c r="U410" s="31" t="inlineStr">
        <is>
          <t>Balanced</t>
        </is>
      </c>
      <c r="V410" s="31" t="inlineStr">
        <is>
          <t>NEW DEVELOPMENT RESULT</t>
        </is>
      </c>
      <c r="W410" s="31" t="n">
        <v>0.0006897155304282999</v>
      </c>
    </row>
    <row r="411" ht="24" customHeight="1">
      <c r="A411" s="31" t="inlineStr">
        <is>
          <t>D023__ECO__8102</t>
        </is>
      </c>
      <c r="B411" s="31" t="inlineStr">
        <is>
          <t>D023</t>
        </is>
      </c>
      <c r="C411" s="31" t="inlineStr">
        <is>
          <t>ECO</t>
        </is>
      </c>
      <c r="D411" s="31" t="n">
        <v>8102</v>
      </c>
      <c r="E411" s="31" t="n">
        <v>906</v>
      </c>
      <c r="F411" s="33" t="n">
        <v>1386.082781456954</v>
      </c>
      <c r="G411" s="33" t="n">
        <v>2153.771022081836</v>
      </c>
      <c r="H411" s="33" t="n">
        <v>3203.72</v>
      </c>
      <c r="I411" s="33" t="n">
        <v>2027</v>
      </c>
      <c r="J411" s="33" t="n">
        <v>661.8520971302428</v>
      </c>
      <c r="K411" s="33" t="n">
        <v>238.7777777777778</v>
      </c>
      <c r="L411" s="33" t="n">
        <v>583.9838383188488</v>
      </c>
      <c r="M411" s="33" t="n">
        <v>2177318.291435537</v>
      </c>
      <c r="N411" s="33" t="n">
        <v>474374</v>
      </c>
      <c r="O411" s="34" t="n">
        <v>0</v>
      </c>
      <c r="P411" s="34" t="n">
        <v>0.0225603535823422</v>
      </c>
      <c r="Q411" s="34" t="n">
        <v>-0.0072890209881627</v>
      </c>
      <c r="R411" s="31" t="n">
        <v>1680</v>
      </c>
      <c r="S411" s="31" t="n">
        <v>200</v>
      </c>
      <c r="T411" s="31" t="inlineStr">
        <is>
          <t>L</t>
        </is>
      </c>
      <c r="U411" s="31" t="inlineStr">
        <is>
          <t>Balanced</t>
        </is>
      </c>
      <c r="V411" s="31" t="inlineStr">
        <is>
          <t>NEW DEVELOPMENT RESULT</t>
        </is>
      </c>
      <c r="W411" s="31" t="n">
        <v>0.0007034392265704</v>
      </c>
    </row>
    <row r="412" ht="24" customHeight="1">
      <c r="A412" s="31" t="inlineStr">
        <is>
          <t>D023__ECO__8103</t>
        </is>
      </c>
      <c r="B412" s="31" t="inlineStr">
        <is>
          <t>D023</t>
        </is>
      </c>
      <c r="C412" s="31" t="inlineStr">
        <is>
          <t>ECO</t>
        </is>
      </c>
      <c r="D412" s="31" t="n">
        <v>8103</v>
      </c>
      <c r="E412" s="31" t="n">
        <v>862</v>
      </c>
      <c r="F412" s="33" t="n">
        <v>1318.317865429234</v>
      </c>
      <c r="G412" s="33" t="n">
        <v>2155.62009480528</v>
      </c>
      <c r="H412" s="33" t="n">
        <v>3203.720000000001</v>
      </c>
      <c r="I412" s="33" t="n">
        <v>1931</v>
      </c>
      <c r="J412" s="33" t="n">
        <v>593.4106728538283</v>
      </c>
      <c r="K412" s="33" t="n">
        <v>237.0275689223058</v>
      </c>
      <c r="L412" s="33" t="n">
        <v>579.2319598187086</v>
      </c>
      <c r="M412" s="33" t="n">
        <v>2089258.073689816</v>
      </c>
      <c r="N412" s="33" t="n">
        <v>466746</v>
      </c>
      <c r="O412" s="34" t="n">
        <v>0</v>
      </c>
      <c r="P412" s="34" t="n">
        <v>0.0155482916094154</v>
      </c>
      <c r="Q412" s="34" t="n">
        <v>0.0003530684847753</v>
      </c>
      <c r="R412" s="31" t="n">
        <v>1680</v>
      </c>
      <c r="S412" s="31" t="n">
        <v>200</v>
      </c>
      <c r="T412" s="31" t="inlineStr">
        <is>
          <t>L</t>
        </is>
      </c>
      <c r="U412" s="31" t="inlineStr">
        <is>
          <t>Balanced</t>
        </is>
      </c>
      <c r="V412" s="31" t="inlineStr">
        <is>
          <t>NEW DEVELOPMENT RESULT</t>
        </is>
      </c>
      <c r="W412" s="31" t="n">
        <v>0.0007038621077499</v>
      </c>
    </row>
    <row r="413" ht="24" customHeight="1">
      <c r="A413" s="31" t="inlineStr">
        <is>
          <t>D023__TECO05__8101</t>
        </is>
      </c>
      <c r="B413" s="31" t="inlineStr">
        <is>
          <t>D023</t>
        </is>
      </c>
      <c r="C413" s="31" t="inlineStr">
        <is>
          <t>TECO05</t>
        </is>
      </c>
      <c r="D413" s="31" t="n">
        <v>8101</v>
      </c>
      <c r="E413" s="31" t="n">
        <v>876</v>
      </c>
      <c r="F413" s="33" t="n">
        <v>795.9006849315068</v>
      </c>
      <c r="G413" s="33" t="n">
        <v>1874.162813224816</v>
      </c>
      <c r="H413" s="33" t="n">
        <v>3386.684166666668</v>
      </c>
      <c r="I413" s="33" t="n">
        <v>1243</v>
      </c>
      <c r="J413" s="33" t="n">
        <v>147.5057077625571</v>
      </c>
      <c r="K413" s="33" t="n">
        <v>236.9867724867725</v>
      </c>
      <c r="L413" s="33" t="n">
        <v>578.6863631529501</v>
      </c>
      <c r="M413" s="33" t="n">
        <v>1860510.069656754</v>
      </c>
      <c r="N413" s="33" t="n">
        <v>407815</v>
      </c>
      <c r="O413" s="34" t="n">
        <v>0.2985561248253376</v>
      </c>
      <c r="P413" s="34" t="n">
        <v>0.207512761276463</v>
      </c>
      <c r="Q413" s="34" t="n">
        <v>0.1046912988407526</v>
      </c>
      <c r="R413" s="31" t="n">
        <v>1680</v>
      </c>
      <c r="S413" s="31" t="n">
        <v>200</v>
      </c>
      <c r="T413" s="31" t="inlineStr">
        <is>
          <t>L</t>
        </is>
      </c>
      <c r="U413" s="31" t="inlineStr">
        <is>
          <t>Balanced</t>
        </is>
      </c>
      <c r="V413" s="31" t="inlineStr">
        <is>
          <t>NEW DEVELOPMENT RESULT</t>
        </is>
      </c>
      <c r="W413" s="31" t="n">
        <v>0.0007446545030986</v>
      </c>
    </row>
    <row r="414" ht="24" customHeight="1">
      <c r="A414" s="31" t="inlineStr">
        <is>
          <t>D023__TECO05__8102</t>
        </is>
      </c>
      <c r="B414" s="31" t="inlineStr">
        <is>
          <t>D023</t>
        </is>
      </c>
      <c r="C414" s="31" t="inlineStr">
        <is>
          <t>TECO05</t>
        </is>
      </c>
      <c r="D414" s="31" t="n">
        <v>8102</v>
      </c>
      <c r="E414" s="31" t="n">
        <v>906</v>
      </c>
      <c r="F414" s="33" t="n">
        <v>692.0386313465783</v>
      </c>
      <c r="G414" s="33" t="n">
        <v>1786.050089120928</v>
      </c>
      <c r="H414" s="33" t="n">
        <v>3385.735573951436</v>
      </c>
      <c r="I414" s="33" t="n">
        <v>1110</v>
      </c>
      <c r="J414" s="33" t="n">
        <v>75.92825607064017</v>
      </c>
      <c r="K414" s="33" t="n">
        <v>238.7777777777778</v>
      </c>
      <c r="L414" s="33" t="n">
        <v>583.9838383188488</v>
      </c>
      <c r="M414" s="33" t="n">
        <v>1844163.126172955</v>
      </c>
      <c r="N414" s="33" t="n">
        <v>371861</v>
      </c>
      <c r="O414" s="34" t="n">
        <v>0.2896327709104033</v>
      </c>
      <c r="P414" s="34" t="n">
        <v>0.1601331865261971</v>
      </c>
      <c r="Q414" s="34" t="n">
        <v>0.0365517064961693</v>
      </c>
      <c r="R414" s="31" t="n">
        <v>1680</v>
      </c>
      <c r="S414" s="31" t="n">
        <v>200</v>
      </c>
      <c r="T414" s="31" t="inlineStr">
        <is>
          <t>L</t>
        </is>
      </c>
      <c r="U414" s="31" t="inlineStr">
        <is>
          <t>Balanced</t>
        </is>
      </c>
      <c r="V414" s="31" t="inlineStr">
        <is>
          <t>NEW DEVELOPMENT RESULT</t>
        </is>
      </c>
      <c r="W414" s="31" t="n">
        <v>0.0007920175585303</v>
      </c>
    </row>
    <row r="415" ht="24" customHeight="1">
      <c r="A415" s="31" t="inlineStr">
        <is>
          <t>D023__TECO05__8103</t>
        </is>
      </c>
      <c r="B415" s="31" t="inlineStr">
        <is>
          <t>D023</t>
        </is>
      </c>
      <c r="C415" s="31" t="inlineStr">
        <is>
          <t>TECO05</t>
        </is>
      </c>
      <c r="D415" s="31" t="n">
        <v>8103</v>
      </c>
      <c r="E415" s="31" t="n">
        <v>862</v>
      </c>
      <c r="F415" s="33" t="n">
        <v>718.4060324825986</v>
      </c>
      <c r="G415" s="33" t="n">
        <v>1805.628767425844</v>
      </c>
      <c r="H415" s="33" t="n">
        <v>3410.476531322506</v>
      </c>
      <c r="I415" s="33" t="n">
        <v>1152.95</v>
      </c>
      <c r="J415" s="33" t="n">
        <v>95.54640371229698</v>
      </c>
      <c r="K415" s="33" t="n">
        <v>237.0275689223058</v>
      </c>
      <c r="L415" s="33" t="n">
        <v>579.2319598187086</v>
      </c>
      <c r="M415" s="33" t="n">
        <v>1787565.549488742</v>
      </c>
      <c r="N415" s="33" t="n">
        <v>376988</v>
      </c>
      <c r="O415" s="34" t="n">
        <v>0.3346445630795167</v>
      </c>
      <c r="P415" s="34" t="n">
        <v>0.2020375666841624</v>
      </c>
      <c r="Q415" s="34" t="n">
        <v>0.1054751845453459</v>
      </c>
      <c r="R415" s="31" t="n">
        <v>1680</v>
      </c>
      <c r="S415" s="31" t="n">
        <v>200</v>
      </c>
      <c r="T415" s="31" t="inlineStr">
        <is>
          <t>L</t>
        </is>
      </c>
      <c r="U415" s="31" t="inlineStr">
        <is>
          <t>Balanced</t>
        </is>
      </c>
      <c r="V415" s="31" t="inlineStr">
        <is>
          <t>NEW DEVELOPMENT RESULT</t>
        </is>
      </c>
      <c r="W415" s="31" t="n">
        <v>0.0007754208026122</v>
      </c>
    </row>
    <row r="416" ht="24" customHeight="1">
      <c r="A416" s="31" t="inlineStr">
        <is>
          <t>D023__TECO10__8101</t>
        </is>
      </c>
      <c r="B416" s="31" t="inlineStr">
        <is>
          <t>D023</t>
        </is>
      </c>
      <c r="C416" s="31" t="inlineStr">
        <is>
          <t>TECO10</t>
        </is>
      </c>
      <c r="D416" s="31" t="n">
        <v>8101</v>
      </c>
      <c r="E416" s="31" t="n">
        <v>876</v>
      </c>
      <c r="F416" s="33" t="n">
        <v>1409.590182648402</v>
      </c>
      <c r="G416" s="33" t="n">
        <v>2155.494588134603</v>
      </c>
      <c r="H416" s="33" t="n">
        <v>3203.720000000001</v>
      </c>
      <c r="I416" s="33" t="n">
        <v>2003.5</v>
      </c>
      <c r="J416" s="33" t="n">
        <v>684.5856164383562</v>
      </c>
      <c r="K416" s="33" t="n">
        <v>236.9867724867725</v>
      </c>
      <c r="L416" s="33" t="n">
        <v>578.6863631529501</v>
      </c>
      <c r="M416" s="33" t="n">
        <v>2106956.704477726</v>
      </c>
      <c r="N416" s="33" t="n">
        <v>481832</v>
      </c>
      <c r="O416" s="34" t="n">
        <v>0</v>
      </c>
      <c r="P416" s="34" t="n">
        <v>0.0145060347342963</v>
      </c>
      <c r="Q416" s="34" t="n">
        <v>0.0017784039108109</v>
      </c>
      <c r="R416" s="31" t="n">
        <v>1680</v>
      </c>
      <c r="S416" s="31" t="n">
        <v>200</v>
      </c>
      <c r="T416" s="31" t="inlineStr">
        <is>
          <t>L</t>
        </is>
      </c>
      <c r="U416" s="31" t="inlineStr">
        <is>
          <t>Balanced</t>
        </is>
      </c>
      <c r="V416" s="31" t="inlineStr">
        <is>
          <t>NEW DEVELOPMENT RESULT</t>
        </is>
      </c>
      <c r="W416" s="31" t="n">
        <v>0.0006897155304282999</v>
      </c>
    </row>
    <row r="417" ht="24" customHeight="1">
      <c r="A417" s="31" t="inlineStr">
        <is>
          <t>D023__TECO10__8102</t>
        </is>
      </c>
      <c r="B417" s="31" t="inlineStr">
        <is>
          <t>D023</t>
        </is>
      </c>
      <c r="C417" s="31" t="inlineStr">
        <is>
          <t>TECO10</t>
        </is>
      </c>
      <c r="D417" s="31" t="n">
        <v>8102</v>
      </c>
      <c r="E417" s="31" t="n">
        <v>906</v>
      </c>
      <c r="F417" s="33" t="n">
        <v>1386.082781456954</v>
      </c>
      <c r="G417" s="33" t="n">
        <v>2153.771022081836</v>
      </c>
      <c r="H417" s="33" t="n">
        <v>3203.72</v>
      </c>
      <c r="I417" s="33" t="n">
        <v>2027</v>
      </c>
      <c r="J417" s="33" t="n">
        <v>661.8520971302428</v>
      </c>
      <c r="K417" s="33" t="n">
        <v>238.7777777777778</v>
      </c>
      <c r="L417" s="33" t="n">
        <v>583.9838383188488</v>
      </c>
      <c r="M417" s="33" t="n">
        <v>2177318.291435537</v>
      </c>
      <c r="N417" s="33" t="n">
        <v>474374</v>
      </c>
      <c r="O417" s="34" t="n">
        <v>0</v>
      </c>
      <c r="P417" s="34" t="n">
        <v>0.0225603535823422</v>
      </c>
      <c r="Q417" s="34" t="n">
        <v>-0.0072890209881627</v>
      </c>
      <c r="R417" s="31" t="n">
        <v>1680</v>
      </c>
      <c r="S417" s="31" t="n">
        <v>200</v>
      </c>
      <c r="T417" s="31" t="inlineStr">
        <is>
          <t>L</t>
        </is>
      </c>
      <c r="U417" s="31" t="inlineStr">
        <is>
          <t>Balanced</t>
        </is>
      </c>
      <c r="V417" s="31" t="inlineStr">
        <is>
          <t>NEW DEVELOPMENT RESULT</t>
        </is>
      </c>
      <c r="W417" s="31" t="n">
        <v>0.0007034392265704</v>
      </c>
    </row>
    <row r="418" ht="24" customHeight="1">
      <c r="A418" s="31" t="inlineStr">
        <is>
          <t>D023__TECO10__8103</t>
        </is>
      </c>
      <c r="B418" s="31" t="inlineStr">
        <is>
          <t>D023</t>
        </is>
      </c>
      <c r="C418" s="31" t="inlineStr">
        <is>
          <t>TECO10</t>
        </is>
      </c>
      <c r="D418" s="31" t="n">
        <v>8103</v>
      </c>
      <c r="E418" s="31" t="n">
        <v>862</v>
      </c>
      <c r="F418" s="33" t="n">
        <v>1318.317865429234</v>
      </c>
      <c r="G418" s="33" t="n">
        <v>2155.62009480528</v>
      </c>
      <c r="H418" s="33" t="n">
        <v>3203.720000000001</v>
      </c>
      <c r="I418" s="33" t="n">
        <v>1931</v>
      </c>
      <c r="J418" s="33" t="n">
        <v>593.4106728538283</v>
      </c>
      <c r="K418" s="33" t="n">
        <v>237.0275689223058</v>
      </c>
      <c r="L418" s="33" t="n">
        <v>579.2319598187086</v>
      </c>
      <c r="M418" s="33" t="n">
        <v>2089258.073689816</v>
      </c>
      <c r="N418" s="33" t="n">
        <v>466746</v>
      </c>
      <c r="O418" s="34" t="n">
        <v>0</v>
      </c>
      <c r="P418" s="34" t="n">
        <v>0.0155482916094154</v>
      </c>
      <c r="Q418" s="34" t="n">
        <v>0.0003530684847753</v>
      </c>
      <c r="R418" s="31" t="n">
        <v>1680</v>
      </c>
      <c r="S418" s="31" t="n">
        <v>200</v>
      </c>
      <c r="T418" s="31" t="inlineStr">
        <is>
          <t>L</t>
        </is>
      </c>
      <c r="U418" s="31" t="inlineStr">
        <is>
          <t>Balanced</t>
        </is>
      </c>
      <c r="V418" s="31" t="inlineStr">
        <is>
          <t>NEW DEVELOPMENT RESULT</t>
        </is>
      </c>
      <c r="W418" s="31" t="n">
        <v>0.0007038621077499</v>
      </c>
    </row>
    <row r="419" ht="24" customHeight="1">
      <c r="A419" s="31" t="inlineStr">
        <is>
          <t>D023__TECO15__8101</t>
        </is>
      </c>
      <c r="B419" s="31" t="inlineStr">
        <is>
          <t>D023</t>
        </is>
      </c>
      <c r="C419" s="31" t="inlineStr">
        <is>
          <t>TECO15</t>
        </is>
      </c>
      <c r="D419" s="31" t="n">
        <v>8101</v>
      </c>
      <c r="E419" s="31" t="n">
        <v>876</v>
      </c>
      <c r="F419" s="33" t="n">
        <v>1409.590182648402</v>
      </c>
      <c r="G419" s="33" t="n">
        <v>2155.494588134603</v>
      </c>
      <c r="H419" s="33" t="n">
        <v>3203.720000000001</v>
      </c>
      <c r="I419" s="33" t="n">
        <v>2003.5</v>
      </c>
      <c r="J419" s="33" t="n">
        <v>684.5856164383562</v>
      </c>
      <c r="K419" s="33" t="n">
        <v>236.9867724867725</v>
      </c>
      <c r="L419" s="33" t="n">
        <v>578.6863631529501</v>
      </c>
      <c r="M419" s="33" t="n">
        <v>2106956.704477726</v>
      </c>
      <c r="N419" s="33" t="n">
        <v>481832</v>
      </c>
      <c r="O419" s="34" t="n">
        <v>0</v>
      </c>
      <c r="P419" s="34" t="n">
        <v>0.0145060347342963</v>
      </c>
      <c r="Q419" s="34" t="n">
        <v>0.0017784039108109</v>
      </c>
      <c r="R419" s="31" t="n">
        <v>1680</v>
      </c>
      <c r="S419" s="31" t="n">
        <v>200</v>
      </c>
      <c r="T419" s="31" t="inlineStr">
        <is>
          <t>L</t>
        </is>
      </c>
      <c r="U419" s="31" t="inlineStr">
        <is>
          <t>Balanced</t>
        </is>
      </c>
      <c r="V419" s="31" t="inlineStr">
        <is>
          <t>NEW DEVELOPMENT RESULT</t>
        </is>
      </c>
      <c r="W419" s="31" t="n">
        <v>0.0006897155304282999</v>
      </c>
    </row>
    <row r="420" ht="24" customHeight="1">
      <c r="A420" s="31" t="inlineStr">
        <is>
          <t>D023__TECO15__8102</t>
        </is>
      </c>
      <c r="B420" s="31" t="inlineStr">
        <is>
          <t>D023</t>
        </is>
      </c>
      <c r="C420" s="31" t="inlineStr">
        <is>
          <t>TECO15</t>
        </is>
      </c>
      <c r="D420" s="31" t="n">
        <v>8102</v>
      </c>
      <c r="E420" s="31" t="n">
        <v>906</v>
      </c>
      <c r="F420" s="33" t="n">
        <v>1386.082781456954</v>
      </c>
      <c r="G420" s="33" t="n">
        <v>2153.771022081836</v>
      </c>
      <c r="H420" s="33" t="n">
        <v>3203.72</v>
      </c>
      <c r="I420" s="33" t="n">
        <v>2027</v>
      </c>
      <c r="J420" s="33" t="n">
        <v>661.8520971302428</v>
      </c>
      <c r="K420" s="33" t="n">
        <v>238.7777777777778</v>
      </c>
      <c r="L420" s="33" t="n">
        <v>583.9838383188488</v>
      </c>
      <c r="M420" s="33" t="n">
        <v>2177318.291435537</v>
      </c>
      <c r="N420" s="33" t="n">
        <v>474374</v>
      </c>
      <c r="O420" s="34" t="n">
        <v>0</v>
      </c>
      <c r="P420" s="34" t="n">
        <v>0.0225603535823422</v>
      </c>
      <c r="Q420" s="34" t="n">
        <v>-0.0072890209881627</v>
      </c>
      <c r="R420" s="31" t="n">
        <v>1680</v>
      </c>
      <c r="S420" s="31" t="n">
        <v>200</v>
      </c>
      <c r="T420" s="31" t="inlineStr">
        <is>
          <t>L</t>
        </is>
      </c>
      <c r="U420" s="31" t="inlineStr">
        <is>
          <t>Balanced</t>
        </is>
      </c>
      <c r="V420" s="31" t="inlineStr">
        <is>
          <t>NEW DEVELOPMENT RESULT</t>
        </is>
      </c>
      <c r="W420" s="31" t="n">
        <v>0.0007034392265704</v>
      </c>
    </row>
    <row r="421" ht="24" customHeight="1">
      <c r="A421" s="31" t="inlineStr">
        <is>
          <t>D023__TECO15__8103</t>
        </is>
      </c>
      <c r="B421" s="31" t="inlineStr">
        <is>
          <t>D023</t>
        </is>
      </c>
      <c r="C421" s="31" t="inlineStr">
        <is>
          <t>TECO15</t>
        </is>
      </c>
      <c r="D421" s="31" t="n">
        <v>8103</v>
      </c>
      <c r="E421" s="31" t="n">
        <v>862</v>
      </c>
      <c r="F421" s="33" t="n">
        <v>1318.317865429234</v>
      </c>
      <c r="G421" s="33" t="n">
        <v>2155.62009480528</v>
      </c>
      <c r="H421" s="33" t="n">
        <v>3203.720000000001</v>
      </c>
      <c r="I421" s="33" t="n">
        <v>1931</v>
      </c>
      <c r="J421" s="33" t="n">
        <v>593.4106728538283</v>
      </c>
      <c r="K421" s="33" t="n">
        <v>237.0275689223058</v>
      </c>
      <c r="L421" s="33" t="n">
        <v>579.2319598187086</v>
      </c>
      <c r="M421" s="33" t="n">
        <v>2089258.073689816</v>
      </c>
      <c r="N421" s="33" t="n">
        <v>466746</v>
      </c>
      <c r="O421" s="34" t="n">
        <v>0</v>
      </c>
      <c r="P421" s="34" t="n">
        <v>0.0155482916094154</v>
      </c>
      <c r="Q421" s="34" t="n">
        <v>0.0003530684847753</v>
      </c>
      <c r="R421" s="31" t="n">
        <v>1680</v>
      </c>
      <c r="S421" s="31" t="n">
        <v>200</v>
      </c>
      <c r="T421" s="31" t="inlineStr">
        <is>
          <t>L</t>
        </is>
      </c>
      <c r="U421" s="31" t="inlineStr">
        <is>
          <t>Balanced</t>
        </is>
      </c>
      <c r="V421" s="31" t="inlineStr">
        <is>
          <t>NEW DEVELOPMENT RESULT</t>
        </is>
      </c>
      <c r="W421" s="31" t="n">
        <v>0.0007038621077499</v>
      </c>
    </row>
    <row r="422" ht="24" customHeight="1">
      <c r="A422" s="31" t="inlineStr">
        <is>
          <t>D024__SP__8101</t>
        </is>
      </c>
      <c r="B422" s="31" t="inlineStr">
        <is>
          <t>D024</t>
        </is>
      </c>
      <c r="C422" s="31" t="inlineStr">
        <is>
          <t>SP</t>
        </is>
      </c>
      <c r="D422" s="31" t="n">
        <v>8101</v>
      </c>
      <c r="E422" s="31" t="n">
        <v>876</v>
      </c>
      <c r="F422" s="33" t="n">
        <v>757.7134703196347</v>
      </c>
      <c r="G422" s="33" t="n">
        <v>1527.392622806555</v>
      </c>
      <c r="H422" s="33" t="n">
        <v>3203.720000000001</v>
      </c>
      <c r="I422" s="33" t="n">
        <v>1019.25</v>
      </c>
      <c r="J422" s="33" t="n">
        <v>212.2865296803653</v>
      </c>
      <c r="K422" s="33" t="n">
        <v>246.9867724867725</v>
      </c>
      <c r="L422" s="33" t="n">
        <v>607.6499770611385</v>
      </c>
      <c r="M422" s="33" t="n">
        <v>1567687.628907653</v>
      </c>
      <c r="N422" s="33" t="n">
        <v>260753</v>
      </c>
      <c r="O422" s="34" t="n">
        <v>0</v>
      </c>
      <c r="P422" s="34" t="n">
        <v>0.1255857730792043</v>
      </c>
      <c r="Q422" s="34" t="n">
        <v>-0.0014221670291199</v>
      </c>
      <c r="R422" s="31" t="n">
        <v>1680</v>
      </c>
      <c r="S422" s="31" t="n">
        <v>200</v>
      </c>
      <c r="T422" s="31" t="inlineStr">
        <is>
          <t>L</t>
        </is>
      </c>
      <c r="U422" s="31" t="inlineStr">
        <is>
          <t>Arterial</t>
        </is>
      </c>
      <c r="V422" s="31" t="inlineStr">
        <is>
          <t>NEW DEVELOPMENT RESULT</t>
        </is>
      </c>
      <c r="W422" s="31" t="n">
        <v>0.0009453111262857</v>
      </c>
    </row>
    <row r="423" ht="24" customHeight="1">
      <c r="A423" s="31" t="inlineStr">
        <is>
          <t>D024__SP__8102</t>
        </is>
      </c>
      <c r="B423" s="31" t="inlineStr">
        <is>
          <t>D024</t>
        </is>
      </c>
      <c r="C423" s="31" t="inlineStr">
        <is>
          <t>SP</t>
        </is>
      </c>
      <c r="D423" s="31" t="n">
        <v>8102</v>
      </c>
      <c r="E423" s="31" t="n">
        <v>906</v>
      </c>
      <c r="F423" s="33" t="n">
        <v>739.6578366445916</v>
      </c>
      <c r="G423" s="33" t="n">
        <v>1506.275796732586</v>
      </c>
      <c r="H423" s="33" t="n">
        <v>3203.72</v>
      </c>
      <c r="I423" s="33" t="n">
        <v>1041</v>
      </c>
      <c r="J423" s="33" t="n">
        <v>203.7969094922737</v>
      </c>
      <c r="K423" s="33" t="n">
        <v>249.0180878552972</v>
      </c>
      <c r="L423" s="33" t="n">
        <v>613.1871982528231</v>
      </c>
      <c r="M423" s="33" t="n">
        <v>1601989.317563566</v>
      </c>
      <c r="N423" s="33" t="n">
        <v>254540</v>
      </c>
      <c r="O423" s="34" t="n">
        <v>0</v>
      </c>
      <c r="P423" s="34" t="n">
        <v>0.1455060656459473</v>
      </c>
      <c r="Q423" s="34" t="n">
        <v>-0.0104847858164996</v>
      </c>
      <c r="R423" s="31" t="n">
        <v>1680</v>
      </c>
      <c r="S423" s="31" t="n">
        <v>200</v>
      </c>
      <c r="T423" s="31" t="inlineStr">
        <is>
          <t>L</t>
        </is>
      </c>
      <c r="U423" s="31" t="inlineStr">
        <is>
          <t>Arterial</t>
        </is>
      </c>
      <c r="V423" s="31" t="inlineStr">
        <is>
          <t>NEW DEVELOPMENT RESULT</t>
        </is>
      </c>
      <c r="W423" s="31" t="n">
        <v>0.0009738550873646</v>
      </c>
    </row>
    <row r="424" ht="24" customHeight="1">
      <c r="A424" s="31" t="inlineStr">
        <is>
          <t>D024__SP__8103</t>
        </is>
      </c>
      <c r="B424" s="31" t="inlineStr">
        <is>
          <t>D024</t>
        </is>
      </c>
      <c r="C424" s="31" t="inlineStr">
        <is>
          <t>SP</t>
        </is>
      </c>
      <c r="D424" s="31" t="n">
        <v>8103</v>
      </c>
      <c r="E424" s="31" t="n">
        <v>862</v>
      </c>
      <c r="F424" s="33" t="n">
        <v>663.677494199536</v>
      </c>
      <c r="G424" s="33" t="n">
        <v>1489.703214445407</v>
      </c>
      <c r="H424" s="33" t="n">
        <v>3203.720000000001</v>
      </c>
      <c r="I424" s="33" t="n">
        <v>953.95</v>
      </c>
      <c r="J424" s="33" t="n">
        <v>133.4338747099768</v>
      </c>
      <c r="K424" s="33" t="n">
        <v>247.0275689223058</v>
      </c>
      <c r="L424" s="33" t="n">
        <v>607.6764235974201</v>
      </c>
      <c r="M424" s="33" t="n">
        <v>1526587.063867311</v>
      </c>
      <c r="N424" s="33" t="n">
        <v>248772</v>
      </c>
      <c r="O424" s="34" t="n">
        <v>0</v>
      </c>
      <c r="P424" s="34" t="n">
        <v>0.1207637701239174</v>
      </c>
      <c r="Q424" s="34" t="n">
        <v>-0.001432813203482</v>
      </c>
      <c r="R424" s="31" t="n">
        <v>1680</v>
      </c>
      <c r="S424" s="31" t="n">
        <v>200</v>
      </c>
      <c r="T424" s="31" t="inlineStr">
        <is>
          <t>L</t>
        </is>
      </c>
      <c r="U424" s="31" t="inlineStr">
        <is>
          <t>Arterial</t>
        </is>
      </c>
      <c r="V424" s="31" t="inlineStr">
        <is>
          <t>NEW DEVELOPMENT RESULT</t>
        </is>
      </c>
      <c r="W424" s="31" t="n">
        <v>0.0009785446079015</v>
      </c>
    </row>
    <row r="425" ht="24" customHeight="1">
      <c r="A425" s="31" t="inlineStr">
        <is>
          <t>D024__DTT__8101</t>
        </is>
      </c>
      <c r="B425" s="31" t="inlineStr">
        <is>
          <t>D024</t>
        </is>
      </c>
      <c r="C425" s="31" t="inlineStr">
        <is>
          <t>DTT</t>
        </is>
      </c>
      <c r="D425" s="31" t="n">
        <v>8101</v>
      </c>
      <c r="E425" s="31" t="n">
        <v>876</v>
      </c>
      <c r="F425" s="33" t="n">
        <v>501.398401826484</v>
      </c>
      <c r="G425" s="33" t="n">
        <v>1387.344297807546</v>
      </c>
      <c r="H425" s="33" t="n">
        <v>3301.124566210046</v>
      </c>
      <c r="I425" s="33" t="n">
        <v>654.25</v>
      </c>
      <c r="J425" s="33" t="n">
        <v>15.07876712328767</v>
      </c>
      <c r="K425" s="33" t="n">
        <v>246.9867724867725</v>
      </c>
      <c r="L425" s="33" t="n">
        <v>607.6499770611385</v>
      </c>
      <c r="M425" s="33" t="n">
        <v>1445005.296208521</v>
      </c>
      <c r="N425" s="33" t="n">
        <v>243306</v>
      </c>
      <c r="O425" s="34" t="n">
        <v>0.1611001964636542</v>
      </c>
      <c r="P425" s="34" t="n">
        <v>0.1246695109851135</v>
      </c>
      <c r="Q425" s="34" t="n">
        <v>-0.007139611581344</v>
      </c>
      <c r="R425" s="31" t="n">
        <v>1680</v>
      </c>
      <c r="S425" s="31" t="n">
        <v>200</v>
      </c>
      <c r="T425" s="31" t="inlineStr">
        <is>
          <t>L</t>
        </is>
      </c>
      <c r="U425" s="31" t="inlineStr">
        <is>
          <t>Arterial</t>
        </is>
      </c>
      <c r="V425" s="31" t="inlineStr">
        <is>
          <t>NEW DEVELOPMENT RESULT</t>
        </is>
      </c>
      <c r="W425" s="31" t="n">
        <v>0.0009838838902936</v>
      </c>
    </row>
    <row r="426" ht="24" customHeight="1">
      <c r="A426" s="31" t="inlineStr">
        <is>
          <t>D024__DTT__8102</t>
        </is>
      </c>
      <c r="B426" s="31" t="inlineStr">
        <is>
          <t>D024</t>
        </is>
      </c>
      <c r="C426" s="31" t="inlineStr">
        <is>
          <t>DTT</t>
        </is>
      </c>
      <c r="D426" s="31" t="n">
        <v>8102</v>
      </c>
      <c r="E426" s="31" t="n">
        <v>906</v>
      </c>
      <c r="F426" s="33" t="n">
        <v>478.2748344370861</v>
      </c>
      <c r="G426" s="33" t="n">
        <v>1342.459151456681</v>
      </c>
      <c r="H426" s="33" t="n">
        <v>3311.056644591612</v>
      </c>
      <c r="I426" s="33" t="n">
        <v>711.5</v>
      </c>
      <c r="J426" s="33" t="n">
        <v>11.80242825607064</v>
      </c>
      <c r="K426" s="33" t="n">
        <v>249.0180878552972</v>
      </c>
      <c r="L426" s="33" t="n">
        <v>613.1871982528231</v>
      </c>
      <c r="M426" s="33" t="n">
        <v>1453571.436943596</v>
      </c>
      <c r="N426" s="33" t="n">
        <v>230803</v>
      </c>
      <c r="O426" s="34" t="n">
        <v>0.1782542981296051</v>
      </c>
      <c r="P426" s="34" t="n">
        <v>0.1184079919722579</v>
      </c>
      <c r="Q426" s="34" t="n">
        <v>-0.0327781636932488</v>
      </c>
      <c r="R426" s="31" t="n">
        <v>1680</v>
      </c>
      <c r="S426" s="31" t="n">
        <v>200</v>
      </c>
      <c r="T426" s="31" t="inlineStr">
        <is>
          <t>L</t>
        </is>
      </c>
      <c r="U426" s="31" t="inlineStr">
        <is>
          <t>Arterial</t>
        </is>
      </c>
      <c r="V426" s="31" t="inlineStr">
        <is>
          <t>NEW DEVELOPMENT RESULT</t>
        </is>
      </c>
      <c r="W426" s="31" t="n">
        <v>0.0010248216964315</v>
      </c>
    </row>
    <row r="427" ht="24" customHeight="1">
      <c r="A427" s="31" t="inlineStr">
        <is>
          <t>D024__DTT__8103</t>
        </is>
      </c>
      <c r="B427" s="31" t="inlineStr">
        <is>
          <t>D024</t>
        </is>
      </c>
      <c r="C427" s="31" t="inlineStr">
        <is>
          <t>DTT</t>
        </is>
      </c>
      <c r="D427" s="31" t="n">
        <v>8103</v>
      </c>
      <c r="E427" s="31" t="n">
        <v>862</v>
      </c>
      <c r="F427" s="33" t="n">
        <v>450.0742459396752</v>
      </c>
      <c r="G427" s="33" t="n">
        <v>1257.603726618813</v>
      </c>
      <c r="H427" s="33" t="n">
        <v>3309.257122969838</v>
      </c>
      <c r="I427" s="33" t="n">
        <v>619.9499999999999</v>
      </c>
      <c r="J427" s="33" t="n">
        <v>9.512761020881671</v>
      </c>
      <c r="K427" s="33" t="n">
        <v>247.0275689223058</v>
      </c>
      <c r="L427" s="33" t="n">
        <v>607.6764235974201</v>
      </c>
      <c r="M427" s="33" t="n">
        <v>1326517.305360787</v>
      </c>
      <c r="N427" s="33" t="n">
        <v>208560</v>
      </c>
      <c r="O427" s="34" t="n">
        <v>0.1781951898230968</v>
      </c>
      <c r="P427" s="34" t="n">
        <v>0.1494647874093516</v>
      </c>
      <c r="Q427" s="34" t="n">
        <v>-0.0015540435724538</v>
      </c>
      <c r="R427" s="31" t="n">
        <v>1680</v>
      </c>
      <c r="S427" s="31" t="n">
        <v>200</v>
      </c>
      <c r="T427" s="31" t="inlineStr">
        <is>
          <t>L</t>
        </is>
      </c>
      <c r="U427" s="31" t="inlineStr">
        <is>
          <t>Arterial</t>
        </is>
      </c>
      <c r="V427" s="31" t="inlineStr">
        <is>
          <t>NEW DEVELOPMENT RESULT</t>
        </is>
      </c>
      <c r="W427" s="31" t="n">
        <v>0.0010670177684867</v>
      </c>
    </row>
    <row r="428" ht="24" customHeight="1">
      <c r="A428" s="31" t="inlineStr">
        <is>
          <t>D024__ECO__8101</t>
        </is>
      </c>
      <c r="B428" s="31" t="inlineStr">
        <is>
          <t>D024</t>
        </is>
      </c>
      <c r="C428" s="31" t="inlineStr">
        <is>
          <t>ECO</t>
        </is>
      </c>
      <c r="D428" s="31" t="n">
        <v>8101</v>
      </c>
      <c r="E428" s="31" t="n">
        <v>876</v>
      </c>
      <c r="F428" s="33" t="n">
        <v>757.7134703196347</v>
      </c>
      <c r="G428" s="33" t="n">
        <v>1527.392622806555</v>
      </c>
      <c r="H428" s="33" t="n">
        <v>3203.720000000001</v>
      </c>
      <c r="I428" s="33" t="n">
        <v>1019.25</v>
      </c>
      <c r="J428" s="33" t="n">
        <v>212.2865296803653</v>
      </c>
      <c r="K428" s="33" t="n">
        <v>246.9867724867725</v>
      </c>
      <c r="L428" s="33" t="n">
        <v>607.6499770611385</v>
      </c>
      <c r="M428" s="33" t="n">
        <v>1567687.628907653</v>
      </c>
      <c r="N428" s="33" t="n">
        <v>260753</v>
      </c>
      <c r="O428" s="34" t="n">
        <v>0</v>
      </c>
      <c r="P428" s="34" t="n">
        <v>0.1255857730792043</v>
      </c>
      <c r="Q428" s="34" t="n">
        <v>-0.0014221670291199</v>
      </c>
      <c r="R428" s="31" t="n">
        <v>1680</v>
      </c>
      <c r="S428" s="31" t="n">
        <v>200</v>
      </c>
      <c r="T428" s="31" t="inlineStr">
        <is>
          <t>L</t>
        </is>
      </c>
      <c r="U428" s="31" t="inlineStr">
        <is>
          <t>Arterial</t>
        </is>
      </c>
      <c r="V428" s="31" t="inlineStr">
        <is>
          <t>NEW DEVELOPMENT RESULT</t>
        </is>
      </c>
      <c r="W428" s="31" t="n">
        <v>0.0009453111262857</v>
      </c>
    </row>
    <row r="429" ht="24" customHeight="1">
      <c r="A429" s="31" t="inlineStr">
        <is>
          <t>D024__ECO__8102</t>
        </is>
      </c>
      <c r="B429" s="31" t="inlineStr">
        <is>
          <t>D024</t>
        </is>
      </c>
      <c r="C429" s="31" t="inlineStr">
        <is>
          <t>ECO</t>
        </is>
      </c>
      <c r="D429" s="31" t="n">
        <v>8102</v>
      </c>
      <c r="E429" s="31" t="n">
        <v>906</v>
      </c>
      <c r="F429" s="33" t="n">
        <v>739.6578366445916</v>
      </c>
      <c r="G429" s="33" t="n">
        <v>1506.275796732586</v>
      </c>
      <c r="H429" s="33" t="n">
        <v>3203.72</v>
      </c>
      <c r="I429" s="33" t="n">
        <v>1041</v>
      </c>
      <c r="J429" s="33" t="n">
        <v>203.7969094922737</v>
      </c>
      <c r="K429" s="33" t="n">
        <v>249.0180878552972</v>
      </c>
      <c r="L429" s="33" t="n">
        <v>613.1871982528231</v>
      </c>
      <c r="M429" s="33" t="n">
        <v>1601989.317563566</v>
      </c>
      <c r="N429" s="33" t="n">
        <v>254540</v>
      </c>
      <c r="O429" s="34" t="n">
        <v>0</v>
      </c>
      <c r="P429" s="34" t="n">
        <v>0.1455060656459473</v>
      </c>
      <c r="Q429" s="34" t="n">
        <v>-0.0104847858164996</v>
      </c>
      <c r="R429" s="31" t="n">
        <v>1680</v>
      </c>
      <c r="S429" s="31" t="n">
        <v>200</v>
      </c>
      <c r="T429" s="31" t="inlineStr">
        <is>
          <t>L</t>
        </is>
      </c>
      <c r="U429" s="31" t="inlineStr">
        <is>
          <t>Arterial</t>
        </is>
      </c>
      <c r="V429" s="31" t="inlineStr">
        <is>
          <t>NEW DEVELOPMENT RESULT</t>
        </is>
      </c>
      <c r="W429" s="31" t="n">
        <v>0.0009738550873646</v>
      </c>
    </row>
    <row r="430" ht="24" customHeight="1">
      <c r="A430" s="31" t="inlineStr">
        <is>
          <t>D024__ECO__8103</t>
        </is>
      </c>
      <c r="B430" s="31" t="inlineStr">
        <is>
          <t>D024</t>
        </is>
      </c>
      <c r="C430" s="31" t="inlineStr">
        <is>
          <t>ECO</t>
        </is>
      </c>
      <c r="D430" s="31" t="n">
        <v>8103</v>
      </c>
      <c r="E430" s="31" t="n">
        <v>862</v>
      </c>
      <c r="F430" s="33" t="n">
        <v>663.677494199536</v>
      </c>
      <c r="G430" s="33" t="n">
        <v>1489.703214445407</v>
      </c>
      <c r="H430" s="33" t="n">
        <v>3203.720000000001</v>
      </c>
      <c r="I430" s="33" t="n">
        <v>953.95</v>
      </c>
      <c r="J430" s="33" t="n">
        <v>133.4338747099768</v>
      </c>
      <c r="K430" s="33" t="n">
        <v>247.0275689223058</v>
      </c>
      <c r="L430" s="33" t="n">
        <v>607.6764235974201</v>
      </c>
      <c r="M430" s="33" t="n">
        <v>1526587.063867311</v>
      </c>
      <c r="N430" s="33" t="n">
        <v>248772</v>
      </c>
      <c r="O430" s="34" t="n">
        <v>0</v>
      </c>
      <c r="P430" s="34" t="n">
        <v>0.1207637701239174</v>
      </c>
      <c r="Q430" s="34" t="n">
        <v>-0.001432813203482</v>
      </c>
      <c r="R430" s="31" t="n">
        <v>1680</v>
      </c>
      <c r="S430" s="31" t="n">
        <v>200</v>
      </c>
      <c r="T430" s="31" t="inlineStr">
        <is>
          <t>L</t>
        </is>
      </c>
      <c r="U430" s="31" t="inlineStr">
        <is>
          <t>Arterial</t>
        </is>
      </c>
      <c r="V430" s="31" t="inlineStr">
        <is>
          <t>NEW DEVELOPMENT RESULT</t>
        </is>
      </c>
      <c r="W430" s="31" t="n">
        <v>0.0009785446079015</v>
      </c>
    </row>
    <row r="431" ht="24" customHeight="1">
      <c r="A431" s="31" t="inlineStr">
        <is>
          <t>D024__TECO05__8101</t>
        </is>
      </c>
      <c r="B431" s="31" t="inlineStr">
        <is>
          <t>D024</t>
        </is>
      </c>
      <c r="C431" s="31" t="inlineStr">
        <is>
          <t>TECO05</t>
        </is>
      </c>
      <c r="D431" s="31" t="n">
        <v>8101</v>
      </c>
      <c r="E431" s="31" t="n">
        <v>876</v>
      </c>
      <c r="F431" s="33" t="n">
        <v>757.7134703196347</v>
      </c>
      <c r="G431" s="33" t="n">
        <v>1527.392622806555</v>
      </c>
      <c r="H431" s="33" t="n">
        <v>3203.720000000001</v>
      </c>
      <c r="I431" s="33" t="n">
        <v>1019.25</v>
      </c>
      <c r="J431" s="33" t="n">
        <v>212.2865296803653</v>
      </c>
      <c r="K431" s="33" t="n">
        <v>246.9867724867725</v>
      </c>
      <c r="L431" s="33" t="n">
        <v>607.6499770611385</v>
      </c>
      <c r="M431" s="33" t="n">
        <v>1567687.628907653</v>
      </c>
      <c r="N431" s="33" t="n">
        <v>260753</v>
      </c>
      <c r="O431" s="34" t="n">
        <v>0</v>
      </c>
      <c r="P431" s="34" t="n">
        <v>0.1255857730792043</v>
      </c>
      <c r="Q431" s="34" t="n">
        <v>-0.0014221670291199</v>
      </c>
      <c r="R431" s="31" t="n">
        <v>1680</v>
      </c>
      <c r="S431" s="31" t="n">
        <v>200</v>
      </c>
      <c r="T431" s="31" t="inlineStr">
        <is>
          <t>L</t>
        </is>
      </c>
      <c r="U431" s="31" t="inlineStr">
        <is>
          <t>Arterial</t>
        </is>
      </c>
      <c r="V431" s="31" t="inlineStr">
        <is>
          <t>NEW DEVELOPMENT RESULT</t>
        </is>
      </c>
      <c r="W431" s="31" t="n">
        <v>0.0009453111262857</v>
      </c>
    </row>
    <row r="432" ht="24" customHeight="1">
      <c r="A432" s="31" t="inlineStr">
        <is>
          <t>D024__TECO05__8102</t>
        </is>
      </c>
      <c r="B432" s="31" t="inlineStr">
        <is>
          <t>D024</t>
        </is>
      </c>
      <c r="C432" s="31" t="inlineStr">
        <is>
          <t>TECO05</t>
        </is>
      </c>
      <c r="D432" s="31" t="n">
        <v>8102</v>
      </c>
      <c r="E432" s="31" t="n">
        <v>906</v>
      </c>
      <c r="F432" s="33" t="n">
        <v>739.6578366445916</v>
      </c>
      <c r="G432" s="33" t="n">
        <v>1506.275796732586</v>
      </c>
      <c r="H432" s="33" t="n">
        <v>3203.72</v>
      </c>
      <c r="I432" s="33" t="n">
        <v>1041</v>
      </c>
      <c r="J432" s="33" t="n">
        <v>203.7969094922737</v>
      </c>
      <c r="K432" s="33" t="n">
        <v>249.0180878552972</v>
      </c>
      <c r="L432" s="33" t="n">
        <v>613.1871982528231</v>
      </c>
      <c r="M432" s="33" t="n">
        <v>1601989.317563566</v>
      </c>
      <c r="N432" s="33" t="n">
        <v>254540</v>
      </c>
      <c r="O432" s="34" t="n">
        <v>0</v>
      </c>
      <c r="P432" s="34" t="n">
        <v>0.1455060656459473</v>
      </c>
      <c r="Q432" s="34" t="n">
        <v>-0.0104847858164996</v>
      </c>
      <c r="R432" s="31" t="n">
        <v>1680</v>
      </c>
      <c r="S432" s="31" t="n">
        <v>200</v>
      </c>
      <c r="T432" s="31" t="inlineStr">
        <is>
          <t>L</t>
        </is>
      </c>
      <c r="U432" s="31" t="inlineStr">
        <is>
          <t>Arterial</t>
        </is>
      </c>
      <c r="V432" s="31" t="inlineStr">
        <is>
          <t>NEW DEVELOPMENT RESULT</t>
        </is>
      </c>
      <c r="W432" s="31" t="n">
        <v>0.0009738550873646</v>
      </c>
    </row>
    <row r="433" ht="24" customHeight="1">
      <c r="A433" s="31" t="inlineStr">
        <is>
          <t>D024__TECO05__8103</t>
        </is>
      </c>
      <c r="B433" s="31" t="inlineStr">
        <is>
          <t>D024</t>
        </is>
      </c>
      <c r="C433" s="31" t="inlineStr">
        <is>
          <t>TECO05</t>
        </is>
      </c>
      <c r="D433" s="31" t="n">
        <v>8103</v>
      </c>
      <c r="E433" s="31" t="n">
        <v>862</v>
      </c>
      <c r="F433" s="33" t="n">
        <v>663.677494199536</v>
      </c>
      <c r="G433" s="33" t="n">
        <v>1489.703214445407</v>
      </c>
      <c r="H433" s="33" t="n">
        <v>3203.720000000001</v>
      </c>
      <c r="I433" s="33" t="n">
        <v>953.95</v>
      </c>
      <c r="J433" s="33" t="n">
        <v>133.4338747099768</v>
      </c>
      <c r="K433" s="33" t="n">
        <v>247.0275689223058</v>
      </c>
      <c r="L433" s="33" t="n">
        <v>607.6764235974201</v>
      </c>
      <c r="M433" s="33" t="n">
        <v>1526587.063867311</v>
      </c>
      <c r="N433" s="33" t="n">
        <v>248772</v>
      </c>
      <c r="O433" s="34" t="n">
        <v>0</v>
      </c>
      <c r="P433" s="34" t="n">
        <v>0.1207637701239174</v>
      </c>
      <c r="Q433" s="34" t="n">
        <v>-0.001432813203482</v>
      </c>
      <c r="R433" s="31" t="n">
        <v>1680</v>
      </c>
      <c r="S433" s="31" t="n">
        <v>200</v>
      </c>
      <c r="T433" s="31" t="inlineStr">
        <is>
          <t>L</t>
        </is>
      </c>
      <c r="U433" s="31" t="inlineStr">
        <is>
          <t>Arterial</t>
        </is>
      </c>
      <c r="V433" s="31" t="inlineStr">
        <is>
          <t>NEW DEVELOPMENT RESULT</t>
        </is>
      </c>
      <c r="W433" s="31" t="n">
        <v>0.0009785446079015</v>
      </c>
    </row>
    <row r="434" ht="24" customHeight="1">
      <c r="A434" s="31" t="inlineStr">
        <is>
          <t>D024__TECO10__8101</t>
        </is>
      </c>
      <c r="B434" s="31" t="inlineStr">
        <is>
          <t>D024</t>
        </is>
      </c>
      <c r="C434" s="31" t="inlineStr">
        <is>
          <t>TECO10</t>
        </is>
      </c>
      <c r="D434" s="31" t="n">
        <v>8101</v>
      </c>
      <c r="E434" s="31" t="n">
        <v>876</v>
      </c>
      <c r="F434" s="33" t="n">
        <v>757.7134703196347</v>
      </c>
      <c r="G434" s="33" t="n">
        <v>1527.392622806555</v>
      </c>
      <c r="H434" s="33" t="n">
        <v>3203.720000000001</v>
      </c>
      <c r="I434" s="33" t="n">
        <v>1019.25</v>
      </c>
      <c r="J434" s="33" t="n">
        <v>212.2865296803653</v>
      </c>
      <c r="K434" s="33" t="n">
        <v>246.9867724867725</v>
      </c>
      <c r="L434" s="33" t="n">
        <v>607.6499770611385</v>
      </c>
      <c r="M434" s="33" t="n">
        <v>1567687.628907653</v>
      </c>
      <c r="N434" s="33" t="n">
        <v>260753</v>
      </c>
      <c r="O434" s="34" t="n">
        <v>0</v>
      </c>
      <c r="P434" s="34" t="n">
        <v>0.1255857730792043</v>
      </c>
      <c r="Q434" s="34" t="n">
        <v>-0.0014221670291199</v>
      </c>
      <c r="R434" s="31" t="n">
        <v>1680</v>
      </c>
      <c r="S434" s="31" t="n">
        <v>200</v>
      </c>
      <c r="T434" s="31" t="inlineStr">
        <is>
          <t>L</t>
        </is>
      </c>
      <c r="U434" s="31" t="inlineStr">
        <is>
          <t>Arterial</t>
        </is>
      </c>
      <c r="V434" s="31" t="inlineStr">
        <is>
          <t>NEW DEVELOPMENT RESULT</t>
        </is>
      </c>
      <c r="W434" s="31" t="n">
        <v>0.0009453111262857</v>
      </c>
    </row>
    <row r="435" ht="24" customHeight="1">
      <c r="A435" s="31" t="inlineStr">
        <is>
          <t>D024__TECO10__8102</t>
        </is>
      </c>
      <c r="B435" s="31" t="inlineStr">
        <is>
          <t>D024</t>
        </is>
      </c>
      <c r="C435" s="31" t="inlineStr">
        <is>
          <t>TECO10</t>
        </is>
      </c>
      <c r="D435" s="31" t="n">
        <v>8102</v>
      </c>
      <c r="E435" s="31" t="n">
        <v>906</v>
      </c>
      <c r="F435" s="33" t="n">
        <v>739.6578366445916</v>
      </c>
      <c r="G435" s="33" t="n">
        <v>1506.275796732586</v>
      </c>
      <c r="H435" s="33" t="n">
        <v>3203.72</v>
      </c>
      <c r="I435" s="33" t="n">
        <v>1041</v>
      </c>
      <c r="J435" s="33" t="n">
        <v>203.7969094922737</v>
      </c>
      <c r="K435" s="33" t="n">
        <v>249.0180878552972</v>
      </c>
      <c r="L435" s="33" t="n">
        <v>613.1871982528231</v>
      </c>
      <c r="M435" s="33" t="n">
        <v>1601989.317563566</v>
      </c>
      <c r="N435" s="33" t="n">
        <v>254540</v>
      </c>
      <c r="O435" s="34" t="n">
        <v>0</v>
      </c>
      <c r="P435" s="34" t="n">
        <v>0.1455060656459473</v>
      </c>
      <c r="Q435" s="34" t="n">
        <v>-0.0104847858164996</v>
      </c>
      <c r="R435" s="31" t="n">
        <v>1680</v>
      </c>
      <c r="S435" s="31" t="n">
        <v>200</v>
      </c>
      <c r="T435" s="31" t="inlineStr">
        <is>
          <t>L</t>
        </is>
      </c>
      <c r="U435" s="31" t="inlineStr">
        <is>
          <t>Arterial</t>
        </is>
      </c>
      <c r="V435" s="31" t="inlineStr">
        <is>
          <t>NEW DEVELOPMENT RESULT</t>
        </is>
      </c>
      <c r="W435" s="31" t="n">
        <v>0.0009738550873646</v>
      </c>
    </row>
    <row r="436" ht="24" customHeight="1">
      <c r="A436" s="31" t="inlineStr">
        <is>
          <t>D024__TECO10__8103</t>
        </is>
      </c>
      <c r="B436" s="31" t="inlineStr">
        <is>
          <t>D024</t>
        </is>
      </c>
      <c r="C436" s="31" t="inlineStr">
        <is>
          <t>TECO10</t>
        </is>
      </c>
      <c r="D436" s="31" t="n">
        <v>8103</v>
      </c>
      <c r="E436" s="31" t="n">
        <v>862</v>
      </c>
      <c r="F436" s="33" t="n">
        <v>663.677494199536</v>
      </c>
      <c r="G436" s="33" t="n">
        <v>1489.703214445407</v>
      </c>
      <c r="H436" s="33" t="n">
        <v>3203.720000000001</v>
      </c>
      <c r="I436" s="33" t="n">
        <v>953.95</v>
      </c>
      <c r="J436" s="33" t="n">
        <v>133.4338747099768</v>
      </c>
      <c r="K436" s="33" t="n">
        <v>247.0275689223058</v>
      </c>
      <c r="L436" s="33" t="n">
        <v>607.6764235974201</v>
      </c>
      <c r="M436" s="33" t="n">
        <v>1526587.063867311</v>
      </c>
      <c r="N436" s="33" t="n">
        <v>248772</v>
      </c>
      <c r="O436" s="34" t="n">
        <v>0</v>
      </c>
      <c r="P436" s="34" t="n">
        <v>0.1207637701239174</v>
      </c>
      <c r="Q436" s="34" t="n">
        <v>-0.001432813203482</v>
      </c>
      <c r="R436" s="31" t="n">
        <v>1680</v>
      </c>
      <c r="S436" s="31" t="n">
        <v>200</v>
      </c>
      <c r="T436" s="31" t="inlineStr">
        <is>
          <t>L</t>
        </is>
      </c>
      <c r="U436" s="31" t="inlineStr">
        <is>
          <t>Arterial</t>
        </is>
      </c>
      <c r="V436" s="31" t="inlineStr">
        <is>
          <t>NEW DEVELOPMENT RESULT</t>
        </is>
      </c>
      <c r="W436" s="31" t="n">
        <v>0.0009785446079015</v>
      </c>
    </row>
    <row r="437" ht="24" customHeight="1">
      <c r="A437" s="31" t="inlineStr">
        <is>
          <t>D024__TECO15__8101</t>
        </is>
      </c>
      <c r="B437" s="31" t="inlineStr">
        <is>
          <t>D024</t>
        </is>
      </c>
      <c r="C437" s="31" t="inlineStr">
        <is>
          <t>TECO15</t>
        </is>
      </c>
      <c r="D437" s="31" t="n">
        <v>8101</v>
      </c>
      <c r="E437" s="31" t="n">
        <v>876</v>
      </c>
      <c r="F437" s="33" t="n">
        <v>757.7134703196347</v>
      </c>
      <c r="G437" s="33" t="n">
        <v>1527.392622806555</v>
      </c>
      <c r="H437" s="33" t="n">
        <v>3203.720000000001</v>
      </c>
      <c r="I437" s="33" t="n">
        <v>1019.25</v>
      </c>
      <c r="J437" s="33" t="n">
        <v>212.2865296803653</v>
      </c>
      <c r="K437" s="33" t="n">
        <v>246.9867724867725</v>
      </c>
      <c r="L437" s="33" t="n">
        <v>607.6499770611385</v>
      </c>
      <c r="M437" s="33" t="n">
        <v>1567687.628907653</v>
      </c>
      <c r="N437" s="33" t="n">
        <v>260753</v>
      </c>
      <c r="O437" s="34" t="n">
        <v>0</v>
      </c>
      <c r="P437" s="34" t="n">
        <v>0.1255857730792043</v>
      </c>
      <c r="Q437" s="34" t="n">
        <v>-0.0014221670291199</v>
      </c>
      <c r="R437" s="31" t="n">
        <v>1680</v>
      </c>
      <c r="S437" s="31" t="n">
        <v>200</v>
      </c>
      <c r="T437" s="31" t="inlineStr">
        <is>
          <t>L</t>
        </is>
      </c>
      <c r="U437" s="31" t="inlineStr">
        <is>
          <t>Arterial</t>
        </is>
      </c>
      <c r="V437" s="31" t="inlineStr">
        <is>
          <t>NEW DEVELOPMENT RESULT</t>
        </is>
      </c>
      <c r="W437" s="31" t="n">
        <v>0.0009453111262857</v>
      </c>
    </row>
    <row r="438" ht="24" customHeight="1">
      <c r="A438" s="31" t="inlineStr">
        <is>
          <t>D024__TECO15__8102</t>
        </is>
      </c>
      <c r="B438" s="31" t="inlineStr">
        <is>
          <t>D024</t>
        </is>
      </c>
      <c r="C438" s="31" t="inlineStr">
        <is>
          <t>TECO15</t>
        </is>
      </c>
      <c r="D438" s="31" t="n">
        <v>8102</v>
      </c>
      <c r="E438" s="31" t="n">
        <v>906</v>
      </c>
      <c r="F438" s="33" t="n">
        <v>739.6578366445916</v>
      </c>
      <c r="G438" s="33" t="n">
        <v>1506.275796732586</v>
      </c>
      <c r="H438" s="33" t="n">
        <v>3203.72</v>
      </c>
      <c r="I438" s="33" t="n">
        <v>1041</v>
      </c>
      <c r="J438" s="33" t="n">
        <v>203.7969094922737</v>
      </c>
      <c r="K438" s="33" t="n">
        <v>249.0180878552972</v>
      </c>
      <c r="L438" s="33" t="n">
        <v>613.1871982528231</v>
      </c>
      <c r="M438" s="33" t="n">
        <v>1601989.317563566</v>
      </c>
      <c r="N438" s="33" t="n">
        <v>254540</v>
      </c>
      <c r="O438" s="34" t="n">
        <v>0</v>
      </c>
      <c r="P438" s="34" t="n">
        <v>0.1455060656459473</v>
      </c>
      <c r="Q438" s="34" t="n">
        <v>-0.0104847858164996</v>
      </c>
      <c r="R438" s="31" t="n">
        <v>1680</v>
      </c>
      <c r="S438" s="31" t="n">
        <v>200</v>
      </c>
      <c r="T438" s="31" t="inlineStr">
        <is>
          <t>L</t>
        </is>
      </c>
      <c r="U438" s="31" t="inlineStr">
        <is>
          <t>Arterial</t>
        </is>
      </c>
      <c r="V438" s="31" t="inlineStr">
        <is>
          <t>NEW DEVELOPMENT RESULT</t>
        </is>
      </c>
      <c r="W438" s="31" t="n">
        <v>0.0009738550873646</v>
      </c>
    </row>
    <row r="439" ht="24" customHeight="1">
      <c r="A439" s="31" t="inlineStr">
        <is>
          <t>D024__TECO15__8103</t>
        </is>
      </c>
      <c r="B439" s="31" t="inlineStr">
        <is>
          <t>D024</t>
        </is>
      </c>
      <c r="C439" s="31" t="inlineStr">
        <is>
          <t>TECO15</t>
        </is>
      </c>
      <c r="D439" s="31" t="n">
        <v>8103</v>
      </c>
      <c r="E439" s="31" t="n">
        <v>862</v>
      </c>
      <c r="F439" s="33" t="n">
        <v>663.677494199536</v>
      </c>
      <c r="G439" s="33" t="n">
        <v>1489.703214445407</v>
      </c>
      <c r="H439" s="33" t="n">
        <v>3203.720000000001</v>
      </c>
      <c r="I439" s="33" t="n">
        <v>953.95</v>
      </c>
      <c r="J439" s="33" t="n">
        <v>133.4338747099768</v>
      </c>
      <c r="K439" s="33" t="n">
        <v>247.0275689223058</v>
      </c>
      <c r="L439" s="33" t="n">
        <v>607.6764235974201</v>
      </c>
      <c r="M439" s="33" t="n">
        <v>1526587.063867311</v>
      </c>
      <c r="N439" s="33" t="n">
        <v>248772</v>
      </c>
      <c r="O439" s="34" t="n">
        <v>0</v>
      </c>
      <c r="P439" s="34" t="n">
        <v>0.1207637701239174</v>
      </c>
      <c r="Q439" s="34" t="n">
        <v>-0.001432813203482</v>
      </c>
      <c r="R439" s="31" t="n">
        <v>1680</v>
      </c>
      <c r="S439" s="31" t="n">
        <v>200</v>
      </c>
      <c r="T439" s="31" t="inlineStr">
        <is>
          <t>L</t>
        </is>
      </c>
      <c r="U439" s="31" t="inlineStr">
        <is>
          <t>Arterial</t>
        </is>
      </c>
      <c r="V439" s="31" t="inlineStr">
        <is>
          <t>NEW DEVELOPMENT RESULT</t>
        </is>
      </c>
      <c r="W439" s="31" t="n">
        <v>0.0009785446079015</v>
      </c>
    </row>
    <row r="440" ht="24" customHeight="1">
      <c r="A440" s="31" t="n"/>
      <c r="B440" s="31" t="n"/>
      <c r="C440" s="31" t="n"/>
      <c r="D440" s="31" t="n"/>
      <c r="E440" s="31" t="n"/>
      <c r="F440" s="31" t="n"/>
      <c r="G440" s="31" t="n"/>
      <c r="H440" s="31" t="n"/>
      <c r="I440" s="31" t="n"/>
      <c r="J440" s="31" t="n"/>
      <c r="K440" s="31" t="n"/>
      <c r="L440" s="31" t="n"/>
      <c r="M440" s="31" t="n"/>
      <c r="N440" s="31" t="n"/>
      <c r="O440" s="31" t="n"/>
      <c r="P440" s="31" t="n"/>
      <c r="Q440" s="31" t="n"/>
      <c r="R440" s="31" t="n"/>
      <c r="S440" s="31" t="n"/>
      <c r="T440" s="31" t="n"/>
      <c r="U440" s="31" t="n"/>
      <c r="V440" s="31" t="n"/>
      <c r="W440" s="31" t="n"/>
    </row>
    <row r="441" ht="24" customHeight="1">
      <c r="A441" s="31" t="n"/>
      <c r="B441" s="31" t="n"/>
      <c r="C441" s="31" t="n"/>
      <c r="D441" s="31" t="n"/>
      <c r="E441" s="31" t="n"/>
      <c r="F441" s="31" t="n"/>
      <c r="G441" s="31" t="n"/>
      <c r="H441" s="31" t="n"/>
      <c r="I441" s="31" t="n"/>
      <c r="J441" s="31" t="n"/>
      <c r="K441" s="31" t="n"/>
      <c r="L441" s="31" t="n"/>
      <c r="M441" s="31" t="n"/>
      <c r="N441" s="31" t="n"/>
      <c r="O441" s="31" t="n"/>
      <c r="P441" s="31" t="n"/>
      <c r="Q441" s="31" t="n"/>
      <c r="R441" s="31" t="n"/>
      <c r="S441" s="31" t="n"/>
      <c r="T441" s="31" t="n"/>
      <c r="U441" s="31" t="n"/>
      <c r="V441" s="31" t="n"/>
      <c r="W441" s="31" t="n"/>
    </row>
    <row r="442" ht="24" customHeight="1">
      <c r="A442" s="31" t="n"/>
      <c r="B442" s="31" t="n"/>
      <c r="C442" s="31" t="n"/>
      <c r="D442" s="31" t="n"/>
      <c r="E442" s="31" t="n"/>
      <c r="F442" s="31" t="n"/>
      <c r="G442" s="31" t="n"/>
      <c r="H442" s="31" t="n"/>
      <c r="I442" s="31" t="n"/>
      <c r="J442" s="31" t="n"/>
      <c r="K442" s="31" t="n"/>
      <c r="L442" s="31" t="n"/>
      <c r="M442" s="31" t="n"/>
      <c r="N442" s="31" t="n"/>
      <c r="O442" s="31" t="n"/>
      <c r="P442" s="31" t="n"/>
      <c r="Q442" s="31" t="n"/>
      <c r="R442" s="31" t="n"/>
      <c r="S442" s="31" t="n"/>
      <c r="T442" s="31" t="n"/>
      <c r="U442" s="31" t="n"/>
      <c r="V442" s="31" t="n"/>
      <c r="W442" s="31" t="n"/>
    </row>
    <row r="443" ht="24" customHeight="1">
      <c r="A443" s="31" t="n"/>
      <c r="B443" s="31" t="n"/>
      <c r="C443" s="31" t="n"/>
      <c r="D443" s="31" t="n"/>
      <c r="E443" s="31" t="n"/>
      <c r="F443" s="31" t="n"/>
      <c r="G443" s="31" t="n"/>
      <c r="H443" s="31" t="n"/>
      <c r="I443" s="31" t="n"/>
      <c r="J443" s="31" t="n"/>
      <c r="K443" s="31" t="n"/>
      <c r="L443" s="31" t="n"/>
      <c r="M443" s="31" t="n"/>
      <c r="N443" s="31" t="n"/>
      <c r="O443" s="31" t="n"/>
      <c r="P443" s="31" t="n"/>
      <c r="Q443" s="31" t="n"/>
      <c r="R443" s="31" t="n"/>
      <c r="S443" s="31" t="n"/>
      <c r="T443" s="31" t="n"/>
      <c r="U443" s="31" t="n"/>
      <c r="V443" s="31" t="n"/>
      <c r="W443" s="31" t="n"/>
    </row>
    <row r="444" ht="24" customHeight="1">
      <c r="A444" s="31" t="n"/>
      <c r="B444" s="31" t="n"/>
      <c r="C444" s="31" t="n"/>
      <c r="D444" s="31" t="n"/>
      <c r="E444" s="31" t="n"/>
      <c r="F444" s="31" t="n"/>
      <c r="G444" s="31" t="n"/>
      <c r="H444" s="31" t="n"/>
      <c r="I444" s="31" t="n"/>
      <c r="J444" s="31" t="n"/>
      <c r="K444" s="31" t="n"/>
      <c r="L444" s="31" t="n"/>
      <c r="M444" s="31" t="n"/>
      <c r="N444" s="31" t="n"/>
      <c r="O444" s="31" t="n"/>
      <c r="P444" s="31" t="n"/>
      <c r="Q444" s="31" t="n"/>
      <c r="R444" s="31" t="n"/>
      <c r="S444" s="31" t="n"/>
      <c r="T444" s="31" t="n"/>
      <c r="U444" s="31" t="n"/>
      <c r="V444" s="31" t="n"/>
      <c r="W444" s="3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xSplit="1" ySplit="7" topLeftCell="B8" activePane="bottomRight" state="frozen"/>
      <selection activeCell="A1" sqref="A1"/>
    </sheetView>
  </sheetViews>
  <sheetFormatPr baseColWidth="8" defaultRowHeight="15"/>
  <cols>
    <col width="28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</cols>
  <sheetData>
    <row r="1" ht="24" customHeight="1">
      <c r="A1" s="31" t="n"/>
      <c r="B1" s="31" t="n"/>
      <c r="C1" s="31" t="n"/>
      <c r="D1" s="31" t="n"/>
      <c r="E1" s="31" t="n"/>
      <c r="F1" s="31" t="n"/>
      <c r="G1" s="31" t="n"/>
      <c r="H1" s="31" t="n"/>
      <c r="I1" s="31" t="n"/>
    </row>
    <row r="2" ht="24" customHeight="1">
      <c r="A2" s="3" t="inlineStr">
        <is>
          <t>Two primary criteria; additional measures remain diagnostics</t>
        </is>
      </c>
      <c r="B2" s="31" t="n"/>
      <c r="C2" s="31" t="n"/>
      <c r="D2" s="31" t="n"/>
      <c r="E2" s="31" t="n"/>
      <c r="F2" s="31" t="n"/>
      <c r="G2" s="31" t="n"/>
      <c r="H2" s="31" t="n"/>
      <c r="I2" s="31" t="n"/>
    </row>
    <row r="3" ht="24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</row>
    <row r="4" ht="24" customHeight="1">
      <c r="A4" s="4" t="inlineStr">
        <is>
          <t>Primary time + CO2; distance and P95 are available for explicitly labeled sensitivity.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</row>
    <row r="5" ht="24" customHeight="1">
      <c r="A5" s="31" t="n"/>
      <c r="B5" s="31" t="n"/>
      <c r="C5" s="31" t="n"/>
      <c r="D5" s="31" t="n"/>
      <c r="E5" s="31" t="n"/>
      <c r="F5" s="31" t="n"/>
      <c r="G5" s="31" t="n"/>
      <c r="H5" s="31" t="n"/>
      <c r="I5" s="31" t="n"/>
    </row>
    <row r="6" ht="24" customHeight="1">
      <c r="A6" s="31" t="n"/>
      <c r="B6" s="31" t="n"/>
      <c r="C6" s="31" t="n"/>
      <c r="D6" s="31" t="n"/>
      <c r="E6" s="31" t="n"/>
      <c r="F6" s="31" t="n"/>
      <c r="G6" s="31" t="n"/>
      <c r="H6" s="31" t="n"/>
      <c r="I6" s="31" t="n"/>
    </row>
    <row r="7" ht="38" customHeight="1">
      <c r="A7" s="7" t="inlineStr">
        <is>
          <t>Criterion</t>
        </is>
      </c>
      <c r="B7" s="7" t="inlineStr">
        <is>
          <t>Role</t>
        </is>
      </c>
      <c r="C7" s="7" t="inlineStr">
        <is>
          <t>Unit / population</t>
        </is>
      </c>
      <c r="D7" s="7" t="inlineStr">
        <is>
          <t>Direction</t>
        </is>
      </c>
      <c r="E7" s="7" t="inlineStr">
        <is>
          <t>Calculation</t>
        </is>
      </c>
      <c r="F7" s="7" t="inlineStr">
        <is>
          <t>Source</t>
        </is>
      </c>
      <c r="G7" s="7" t="inlineStr">
        <is>
          <t>Meaning</t>
        </is>
      </c>
      <c r="H7" s="7" t="inlineStr">
        <is>
          <t>Redundancy / limitation</t>
        </is>
      </c>
      <c r="I7" s="7" t="inlineStr">
        <is>
          <t>Decision</t>
        </is>
      </c>
    </row>
    <row r="8" ht="88" customHeight="1">
      <c r="A8" s="8" t="inlineStr">
        <is>
          <t>Mean journey time</t>
        </is>
      </c>
      <c r="B8" s="8" t="inlineStr">
        <is>
          <t>ESTABLISHED; PRIMARY</t>
        </is>
      </c>
      <c r="C8" s="8" t="inlineStr">
        <is>
          <t>s/primary vehicle</t>
        </is>
      </c>
      <c r="D8" s="8" t="inlineStr">
        <is>
          <t>Cost</t>
        </is>
      </c>
      <c r="E8" s="8" t="inlineStr">
        <is>
          <t>arrival minus scheduled request = duration + departDelay</t>
        </is>
      </c>
      <c r="F8" s="8" t="inlineStr">
        <is>
          <t>R19 SUMO Tripinfo; our full-cohort definition</t>
        </is>
      </c>
      <c r="G8" s="8" t="inlineStr">
        <is>
          <t>Captures service including delayed insertion</t>
        </is>
      </c>
      <c r="H8" s="8" t="inlineStr">
        <is>
          <t>Partly correlated with CO2, but a distinct mobility impact</t>
        </is>
      </c>
      <c r="I8" s="8" t="inlineStr">
        <is>
          <t>KEEP</t>
        </is>
      </c>
    </row>
    <row r="9" ht="88" customHeight="1">
      <c r="A9" s="8" t="inlineStr">
        <is>
          <t>Mean tailpipe CO2</t>
        </is>
      </c>
      <c r="B9" s="8" t="inlineStr">
        <is>
          <t>ESTABLISHED; PRIMARY</t>
        </is>
      </c>
      <c r="C9" s="8" t="inlineStr">
        <is>
          <t>g/primary vehicle</t>
        </is>
      </c>
      <c r="D9" s="8" t="inlineStr">
        <is>
          <t>Cost</t>
        </is>
      </c>
      <c r="E9" s="8" t="inlineStr">
        <is>
          <t>CO2_abs mg / 1000; completed primary cohort mean</t>
        </is>
      </c>
      <c r="F9" s="8" t="inlineStr">
        <is>
          <t>R20-R21; R03,R06,R40 environmental routing</t>
        </is>
      </c>
      <c r="G9" s="8" t="inlineStr">
        <is>
          <t>Direct modeled environmental outcome</t>
        </is>
      </c>
      <c r="H9" s="8" t="inlineStr">
        <is>
          <t>Excludes pre-insertion idling, lifecycle and non-CO2 pollutants</t>
        </is>
      </c>
      <c r="I9" s="8" t="inlineStr">
        <is>
          <t>KEEP</t>
        </is>
      </c>
    </row>
    <row r="10" ht="88" customHeight="1">
      <c r="A10" s="8" t="inlineStr">
        <is>
          <t>Fuel</t>
        </is>
      </c>
      <c r="B10" s="8" t="inlineStr">
        <is>
          <t>ESTABLISHED environmental alternative</t>
        </is>
      </c>
      <c r="C10" s="8" t="inlineStr">
        <is>
          <t>SUMO model fuel units</t>
        </is>
      </c>
      <c r="D10" s="8" t="inlineStr">
        <is>
          <t>Cost</t>
        </is>
      </c>
      <c r="E10" s="8" t="inlineStr">
        <is>
          <t>Native fuel_abs, unit mode recorded</t>
        </is>
      </c>
      <c r="F10" s="8" t="inlineStr">
        <is>
          <t>R05; R20</t>
        </is>
      </c>
      <c r="G10" s="8" t="inlineStr">
        <is>
          <t>Energy relevance</t>
        </is>
      </c>
      <c r="H10" s="8" t="inlineStr">
        <is>
          <t>CO2/fuel ratio ~3.135; trip correlation &gt;0.999999997 in every run</t>
        </is>
      </c>
      <c r="I10" s="8" t="inlineStr">
        <is>
          <t>REMOVE from MCDM</t>
        </is>
      </c>
    </row>
    <row r="11" ht="88" customHeight="1">
      <c r="A11" s="8" t="inlineStr">
        <is>
          <t>Distance</t>
        </is>
      </c>
      <c r="B11" s="8" t="inlineStr">
        <is>
          <t>ESTABLISHED route objective; possible decision criterion</t>
        </is>
      </c>
      <c r="C11" s="8" t="inlineStr">
        <is>
          <t>m/primary vehicle</t>
        </is>
      </c>
      <c r="D11" s="8" t="inlineStr">
        <is>
          <t>Cost</t>
        </is>
      </c>
      <c r="E11" s="8" t="inlineStr">
        <is>
          <t>Tripinfo routeLength</t>
        </is>
      </c>
      <c r="F11" s="8" t="inlineStr">
        <is>
          <t>R01,R05; R19</t>
        </is>
      </c>
      <c r="G11" s="8" t="inlineStr">
        <is>
          <t>Could represent distance-related operating burden if explicitly valued</t>
        </is>
      </c>
      <c r="H11" s="8" t="inlineStr">
        <is>
          <t>Not automatically double counting SP; but no separate stakeholder value stated; 0/24 winner changes</t>
        </is>
      </c>
      <c r="I11" s="8" t="inlineStr">
        <is>
          <t>DIAGNOSTIC</t>
        </is>
      </c>
    </row>
    <row r="12" ht="88" customHeight="1">
      <c r="A12" s="8" t="inlineStr">
        <is>
          <t>P95 journey time</t>
        </is>
      </c>
      <c r="B12" s="8" t="inlineStr">
        <is>
          <t>ADDITIONAL tail service criterion</t>
        </is>
      </c>
      <c r="C12" s="8" t="inlineStr">
        <is>
          <t>s/primary vehicle</t>
        </is>
      </c>
      <c r="D12" s="8" t="inlineStr">
        <is>
          <t>Cost</t>
        </is>
      </c>
      <c r="E12" s="8" t="inlineStr">
        <is>
          <t>Type7 per-run percentile; average of run P95s across seeds</t>
        </is>
      </c>
      <c r="F12" s="8" t="inlineStr">
        <is>
          <t>R17; R27; our episode-tail adaptation</t>
        </is>
      </c>
      <c r="G12" s="8" t="inlineStr">
        <is>
          <t>Reflects poorly served trips</t>
        </is>
      </c>
      <c r="H12" s="8" t="inlineStr">
        <is>
          <t>Not day-to-day same-trip reliability; correlated with mean; only 1/24 equal-three-weight winner changes</t>
        </is>
      </c>
      <c r="I12" s="8" t="inlineStr">
        <is>
          <t>SENSITIVITY</t>
        </is>
      </c>
    </row>
    <row r="13" ht="88" customHeight="1">
      <c r="A13" s="8" t="inlineStr">
        <is>
          <t>Delay / time loss</t>
        </is>
      </c>
      <c r="B13" s="8" t="inlineStr">
        <is>
          <t>ADDITIONAL operational indicator</t>
        </is>
      </c>
      <c r="C13" s="8" t="inlineStr">
        <is>
          <t>s/vehicle</t>
        </is>
      </c>
      <c r="D13" s="8" t="inlineStr">
        <is>
          <t>Cost</t>
        </is>
      </c>
      <c r="E13" s="8" t="inlineStr">
        <is>
          <t>Native timeLoss / waitingTime; definitions differ</t>
        </is>
      </c>
      <c r="F13" s="8" t="inlineStr">
        <is>
          <t>R19</t>
        </is>
      </c>
      <c r="G13" s="8" t="inlineStr">
        <is>
          <t>Explains mechanisms</t>
        </is>
      </c>
      <c r="H13" s="8" t="inlineStr">
        <is>
          <t>Adds another time-related component; do not silently equate waiting, timeLoss and departDelay</t>
        </is>
      </c>
      <c r="I13" s="8" t="inlineStr">
        <is>
          <t>DIAGNOSTIC</t>
        </is>
      </c>
    </row>
    <row r="14" ht="88" customHeight="1">
      <c r="A14" s="8" t="inlineStr">
        <is>
          <t>Stops / queues</t>
        </is>
      </c>
      <c r="B14" s="8" t="inlineStr">
        <is>
          <t>ADDITIONAL operational indicator</t>
        </is>
      </c>
      <c r="C14" s="8" t="inlineStr">
        <is>
          <t>count; vehicle-s</t>
        </is>
      </c>
      <c r="D14" s="8" t="inlineStr">
        <is>
          <t>Cost</t>
        </is>
      </c>
      <c r="E14" s="8" t="inlineStr">
        <is>
          <t>Stops require threshold convention; edge waitingTime aggregated</t>
        </is>
      </c>
      <c r="F14" s="8" t="inlineStr">
        <is>
          <t>R22</t>
        </is>
      </c>
      <c r="G14" s="8" t="inlineStr">
        <is>
          <t>Locates bottlenecks and spillback</t>
        </is>
      </c>
      <c r="H14" s="8" t="inlineStr">
        <is>
          <t>Not an independent welfare criterion; queue proxy is stopped vehicle-time, not max physical length</t>
        </is>
      </c>
      <c r="I14" s="8" t="inlineStr">
        <is>
          <t>DIAGNOSTIC</t>
        </is>
      </c>
    </row>
    <row r="15" ht="88" customHeight="1">
      <c r="A15" s="8" t="inlineStr">
        <is>
          <t>Safety / exposure / noise / money</t>
        </is>
      </c>
      <c r="B15" s="8" t="inlineStr">
        <is>
          <t>Additional possible impacts</t>
        </is>
      </c>
      <c r="C15" s="8" t="inlineStr">
        <is>
          <t>Unspecified</t>
        </is>
      </c>
      <c r="D15" s="8" t="inlineStr">
        <is>
          <t>Unspecified</t>
        </is>
      </c>
      <c r="E15" s="8" t="inlineStr">
        <is>
          <t>No validated model supplied</t>
        </is>
      </c>
      <c r="F15" s="8" t="inlineStr">
        <is>
          <t>Not used</t>
        </is>
      </c>
      <c r="G15" s="8" t="inlineStr">
        <is>
          <t>Potential future studies</t>
        </is>
      </c>
      <c r="H15" s="8" t="inlineStr">
        <is>
          <t>Cannot be inferred credibly from present outputs</t>
        </is>
      </c>
      <c r="I15" s="8" t="inlineStr">
        <is>
          <t>REMOVE</t>
        </is>
      </c>
    </row>
    <row r="16" ht="24" customHeight="1">
      <c r="A16" s="31" t="n"/>
      <c r="B16" s="31" t="n"/>
      <c r="C16" s="31" t="n"/>
      <c r="D16" s="31" t="n"/>
      <c r="E16" s="31" t="n"/>
      <c r="F16" s="31" t="n"/>
      <c r="G16" s="31" t="n"/>
      <c r="H16" s="31" t="n"/>
      <c r="I16" s="31" t="n"/>
    </row>
    <row r="17" ht="24" customHeight="1">
      <c r="A17" s="31" t="n"/>
      <c r="B17" s="31" t="n"/>
      <c r="C17" s="31" t="n"/>
      <c r="D17" s="31" t="n"/>
      <c r="E17" s="31" t="n"/>
      <c r="F17" s="31" t="n"/>
      <c r="G17" s="31" t="n"/>
      <c r="H17" s="31" t="n"/>
      <c r="I17" s="31" t="n"/>
    </row>
    <row r="18" ht="24" customHeight="1">
      <c r="A18" s="31" t="n"/>
      <c r="B18" s="31" t="n"/>
      <c r="C18" s="31" t="n"/>
      <c r="D18" s="31" t="n"/>
      <c r="E18" s="31" t="n"/>
      <c r="F18" s="31" t="n"/>
      <c r="G18" s="31" t="n"/>
      <c r="H18" s="31" t="n"/>
      <c r="I18" s="3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xSplit="1" ySplit="7" topLeftCell="B8" activePane="bottomRight" state="frozen"/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  <col width="29" customWidth="1" min="4" max="4"/>
    <col width="26" customWidth="1" min="5" max="5"/>
    <col width="35" customWidth="1" min="6" max="6"/>
    <col width="33" customWidth="1" min="7" max="7"/>
  </cols>
  <sheetData>
    <row r="1" ht="24" customHeight="1">
      <c r="A1" s="31" t="n"/>
      <c r="B1" s="31" t="n"/>
      <c r="C1" s="31" t="n"/>
      <c r="D1" s="31" t="n"/>
      <c r="E1" s="31" t="n"/>
      <c r="F1" s="31" t="n"/>
      <c r="G1" s="31" t="n"/>
    </row>
    <row r="2" ht="24" customHeight="1">
      <c r="A2" s="3" t="inlineStr">
        <is>
          <t>1. Observed policy outcomes for the selected context</t>
        </is>
      </c>
      <c r="B2" s="31" t="n"/>
      <c r="C2" s="31" t="n"/>
      <c r="D2" s="31" t="n"/>
      <c r="E2" s="31" t="n"/>
      <c r="F2" s="31" t="n"/>
      <c r="G2" s="31" t="n"/>
    </row>
    <row r="3" ht="24" customHeight="1">
      <c r="A3" s="31" t="n"/>
      <c r="B3" s="31" t="n"/>
      <c r="C3" s="31" t="n"/>
      <c r="D3" s="31" t="n"/>
      <c r="E3" s="31" t="n"/>
      <c r="F3" s="31" t="n"/>
      <c r="G3" s="31" t="n"/>
    </row>
    <row r="4" ht="24" customHeight="1">
      <c r="A4" s="4" t="inlineStr">
        <is>
          <t>Only observed development outcomes enter physical ranking. Future ML predictions will be separate.</t>
        </is>
      </c>
      <c r="B4" s="31" t="n"/>
      <c r="C4" s="31" t="n"/>
      <c r="D4" s="31" t="n"/>
      <c r="E4" s="31" t="n"/>
      <c r="F4" s="31" t="n"/>
      <c r="G4" s="31" t="n"/>
    </row>
    <row r="5" ht="24" customHeight="1">
      <c r="A5" s="31" t="inlineStr">
        <is>
          <t>Development context</t>
        </is>
      </c>
      <c r="B5" s="12">
        <f>WEIGHTS!B5</f>
        <v/>
      </c>
      <c r="C5" s="31" t="n"/>
      <c r="D5" s="31" t="inlineStr">
        <is>
          <t>Preference profile</t>
        </is>
      </c>
      <c r="E5" s="12">
        <f>WEIGHTS!B6</f>
        <v/>
      </c>
      <c r="F5" s="31" t="n"/>
      <c r="G5" s="31" t="n"/>
    </row>
    <row r="6" ht="24" customHeight="1">
      <c r="A6" s="31" t="n"/>
      <c r="B6" s="31" t="n"/>
      <c r="C6" s="31" t="n"/>
      <c r="D6" s="31" t="n"/>
      <c r="E6" s="31" t="n"/>
      <c r="F6" s="31" t="n"/>
      <c r="G6" s="31" t="n"/>
    </row>
    <row r="7" ht="38" customHeight="1">
      <c r="A7" s="7" t="inlineStr">
        <is>
          <t>Policy</t>
        </is>
      </c>
      <c r="B7" s="7" t="inlineStr">
        <is>
          <t>Time (s) — COST</t>
        </is>
      </c>
      <c r="C7" s="7" t="inlineStr">
        <is>
          <t>CO2 (g) — COST</t>
        </is>
      </c>
      <c r="D7" s="7" t="inlineStr">
        <is>
          <t>Distance (m) — COST</t>
        </is>
      </c>
      <c r="E7" s="7" t="inlineStr">
        <is>
          <t>P95 (s) — COST</t>
        </is>
      </c>
      <c r="F7" s="7" t="inlineStr">
        <is>
          <t>Evidence status</t>
        </is>
      </c>
      <c r="G7" s="7" t="inlineStr">
        <is>
          <t>Source lookup</t>
        </is>
      </c>
    </row>
    <row r="8" ht="24" customHeight="1">
      <c r="A8" s="31" t="inlineStr">
        <is>
          <t>SP</t>
        </is>
      </c>
      <c r="B8" s="35">
        <f>INDEX(REDESIGN_RESULTS!$D$8:$D$151,MATCH(WEIGHTS!$B$5&amp;"__"&amp;A8,REDESIGN_RESULTS!$A$8:$A$151,0))</f>
        <v/>
      </c>
      <c r="C8" s="35">
        <f>INDEX(REDESIGN_RESULTS!$E$8:$E$151,MATCH(WEIGHTS!$B$5&amp;"__"&amp;A8,REDESIGN_RESULTS!$A$8:$A$151,0))</f>
        <v/>
      </c>
      <c r="D8" s="35">
        <f>INDEX(REDESIGN_RESULTS!$F$8:$F$151,MATCH(WEIGHTS!$B$5&amp;"__"&amp;A8,REDESIGN_RESULTS!$A$8:$A$151,0))</f>
        <v/>
      </c>
      <c r="E8" s="35">
        <f>INDEX(REDESIGN_RESULTS!$G$8:$G$151,MATCH(WEIGHTS!$B$5&amp;"__"&amp;A8,REDESIGN_RESULTS!$A$8:$A$151,0))</f>
        <v/>
      </c>
      <c r="F8" s="31" t="inlineStr">
        <is>
          <t>COMPLETED DEVELOPMENT</t>
        </is>
      </c>
      <c r="G8" s="12">
        <f>WEIGHTS!B5&amp;"__"&amp;A8</f>
        <v/>
      </c>
    </row>
    <row r="9" ht="24" customHeight="1">
      <c r="A9" s="31" t="inlineStr">
        <is>
          <t>DTT</t>
        </is>
      </c>
      <c r="B9" s="35">
        <f>INDEX(REDESIGN_RESULTS!$D$8:$D$151,MATCH(WEIGHTS!$B$5&amp;"__"&amp;A9,REDESIGN_RESULTS!$A$8:$A$151,0))</f>
        <v/>
      </c>
      <c r="C9" s="35">
        <f>INDEX(REDESIGN_RESULTS!$E$8:$E$151,MATCH(WEIGHTS!$B$5&amp;"__"&amp;A9,REDESIGN_RESULTS!$A$8:$A$151,0))</f>
        <v/>
      </c>
      <c r="D9" s="35">
        <f>INDEX(REDESIGN_RESULTS!$F$8:$F$151,MATCH(WEIGHTS!$B$5&amp;"__"&amp;A9,REDESIGN_RESULTS!$A$8:$A$151,0))</f>
        <v/>
      </c>
      <c r="E9" s="35">
        <f>INDEX(REDESIGN_RESULTS!$G$8:$G$151,MATCH(WEIGHTS!$B$5&amp;"__"&amp;A9,REDESIGN_RESULTS!$A$8:$A$151,0))</f>
        <v/>
      </c>
      <c r="F9" s="31" t="inlineStr">
        <is>
          <t>COMPLETED DEVELOPMENT</t>
        </is>
      </c>
      <c r="G9" s="12">
        <f>WEIGHTS!B5&amp;"__"&amp;A9</f>
        <v/>
      </c>
    </row>
    <row r="10" ht="24" customHeight="1">
      <c r="A10" s="31" t="inlineStr">
        <is>
          <t>ECO</t>
        </is>
      </c>
      <c r="B10" s="35">
        <f>INDEX(REDESIGN_RESULTS!$D$8:$D$151,MATCH(WEIGHTS!$B$5&amp;"__"&amp;A10,REDESIGN_RESULTS!$A$8:$A$151,0))</f>
        <v/>
      </c>
      <c r="C10" s="35">
        <f>INDEX(REDESIGN_RESULTS!$E$8:$E$151,MATCH(WEIGHTS!$B$5&amp;"__"&amp;A10,REDESIGN_RESULTS!$A$8:$A$151,0))</f>
        <v/>
      </c>
      <c r="D10" s="35">
        <f>INDEX(REDESIGN_RESULTS!$F$8:$F$151,MATCH(WEIGHTS!$B$5&amp;"__"&amp;A10,REDESIGN_RESULTS!$A$8:$A$151,0))</f>
        <v/>
      </c>
      <c r="E10" s="35">
        <f>INDEX(REDESIGN_RESULTS!$G$8:$G$151,MATCH(WEIGHTS!$B$5&amp;"__"&amp;A10,REDESIGN_RESULTS!$A$8:$A$151,0))</f>
        <v/>
      </c>
      <c r="F10" s="31" t="inlineStr">
        <is>
          <t>COMPLETED DEVELOPMENT</t>
        </is>
      </c>
      <c r="G10" s="12">
        <f>WEIGHTS!B5&amp;"__"&amp;A10</f>
        <v/>
      </c>
    </row>
    <row r="11" ht="24" customHeight="1">
      <c r="A11" s="31" t="inlineStr">
        <is>
          <t>TECO10</t>
        </is>
      </c>
      <c r="B11" s="35">
        <f>INDEX(REDESIGN_RESULTS!$D$8:$D$151,MATCH(WEIGHTS!$B$5&amp;"__"&amp;A11,REDESIGN_RESULTS!$A$8:$A$151,0))</f>
        <v/>
      </c>
      <c r="C11" s="35">
        <f>INDEX(REDESIGN_RESULTS!$E$8:$E$151,MATCH(WEIGHTS!$B$5&amp;"__"&amp;A11,REDESIGN_RESULTS!$A$8:$A$151,0))</f>
        <v/>
      </c>
      <c r="D11" s="35">
        <f>INDEX(REDESIGN_RESULTS!$F$8:$F$151,MATCH(WEIGHTS!$B$5&amp;"__"&amp;A11,REDESIGN_RESULTS!$A$8:$A$151,0))</f>
        <v/>
      </c>
      <c r="E11" s="35">
        <f>INDEX(REDESIGN_RESULTS!$G$8:$G$151,MATCH(WEIGHTS!$B$5&amp;"__"&amp;A11,REDESIGN_RESULTS!$A$8:$A$151,0))</f>
        <v/>
      </c>
      <c r="F11" s="31" t="inlineStr">
        <is>
          <t>COMPLETED DEVELOPMENT</t>
        </is>
      </c>
      <c r="G11" s="12">
        <f>WEIGHTS!B5&amp;"__"&amp;A11</f>
        <v/>
      </c>
    </row>
    <row r="12" ht="24" customHeight="1">
      <c r="A12" s="31" t="n"/>
      <c r="B12" s="31" t="n"/>
      <c r="C12" s="31" t="n"/>
      <c r="D12" s="31" t="n"/>
      <c r="E12" s="31" t="n"/>
      <c r="F12" s="31" t="n"/>
      <c r="G12" s="31" t="n"/>
    </row>
    <row r="13" ht="24" customHeight="1">
      <c r="A13" s="31" t="n"/>
      <c r="B13" s="31" t="n"/>
      <c r="C13" s="31" t="n"/>
      <c r="D13" s="31" t="n"/>
      <c r="E13" s="31" t="n"/>
      <c r="F13" s="31" t="n"/>
      <c r="G13" s="31" t="n"/>
    </row>
    <row r="14" ht="24" customHeight="1">
      <c r="A14" s="31" t="inlineStr">
        <is>
          <t>Population</t>
        </is>
      </c>
      <c r="B14" s="31" t="inlineStr">
        <is>
          <t>Primary requests 600–2400 s, followed until arrival.</t>
        </is>
      </c>
      <c r="C14" s="31" t="n"/>
      <c r="D14" s="31" t="n"/>
      <c r="E14" s="31" t="n"/>
      <c r="F14" s="31" t="n"/>
      <c r="G14" s="31" t="n"/>
    </row>
    <row r="15" ht="24" customHeight="1">
      <c r="A15" s="31" t="n"/>
      <c r="B15" s="31" t="n"/>
      <c r="C15" s="31" t="n"/>
      <c r="D15" s="31" t="n"/>
      <c r="E15" s="31" t="n"/>
      <c r="F15" s="31" t="n"/>
      <c r="G15" s="31" t="n"/>
    </row>
    <row r="16" ht="24" customHeight="1">
      <c r="A16" s="31" t="inlineStr">
        <is>
          <t>MCDM direction</t>
        </is>
      </c>
      <c r="B16" s="31" t="inlineStr">
        <is>
          <t>All criteria are costs. Only positive active weights contribute.</t>
        </is>
      </c>
      <c r="C16" s="31" t="n"/>
      <c r="D16" s="31" t="n"/>
      <c r="E16" s="31" t="n"/>
      <c r="F16" s="31" t="n"/>
      <c r="G16" s="31" t="n"/>
    </row>
    <row r="17" ht="24" customHeight="1">
      <c r="A17" s="31" t="n"/>
      <c r="B17" s="31" t="n"/>
      <c r="C17" s="31" t="n"/>
      <c r="D17" s="31" t="n"/>
      <c r="E17" s="31" t="n"/>
      <c r="F17" s="31" t="n"/>
      <c r="G17" s="31" t="n"/>
    </row>
    <row r="18" ht="24" customHeight="1">
      <c r="A18" s="31" t="n"/>
      <c r="B18" s="31" t="n"/>
      <c r="C18" s="31" t="n"/>
      <c r="D18" s="31" t="n"/>
      <c r="E18" s="31" t="n"/>
      <c r="F18" s="31" t="n"/>
      <c r="G18" s="31" t="n"/>
    </row>
    <row r="19" ht="24" customHeight="1">
      <c r="A19" s="31" t="n"/>
      <c r="B19" s="31" t="n"/>
      <c r="C19" s="31" t="n"/>
      <c r="D19" s="31" t="n"/>
      <c r="E19" s="31" t="n"/>
      <c r="F19" s="31" t="n"/>
      <c r="G19" s="31" t="n"/>
    </row>
    <row r="20" ht="24" customHeight="1">
      <c r="A20" s="31" t="n"/>
      <c r="B20" s="31" t="n"/>
      <c r="C20" s="31" t="n"/>
      <c r="D20" s="31" t="n"/>
      <c r="E20" s="31" t="n"/>
      <c r="F20" s="31" t="n"/>
      <c r="G20" s="31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xSplit="1" ySplit="7" topLeftCell="B8" activePane="bottomRight" state="frozen"/>
      <selection activeCell="A1" sqref="A1"/>
    </sheetView>
  </sheetViews>
  <sheetFormatPr baseColWidth="8" defaultRowHeight="15"/>
  <cols>
    <col width="21" customWidth="1" min="1" max="1"/>
    <col width="22" customWidth="1" min="2" max="2"/>
    <col width="24" customWidth="1" min="3" max="3"/>
    <col width="25" customWidth="1" min="4" max="4"/>
    <col width="24" customWidth="1" min="5" max="5"/>
    <col width="24" customWidth="1" min="6" max="6"/>
    <col width="28" customWidth="1" min="7" max="7"/>
    <col width="23" customWidth="1" min="8" max="8"/>
    <col width="24" customWidth="1" min="9" max="9"/>
    <col width="27" customWidth="1" min="10" max="10"/>
    <col width="23" customWidth="1" min="11" max="11"/>
    <col width="24" customWidth="1" min="12" max="12"/>
    <col width="26" customWidth="1" min="13" max="13"/>
    <col width="62" customWidth="1" min="14" max="14"/>
  </cols>
  <sheetData>
    <row r="1" ht="24" customHeight="1">
      <c r="A1" s="31" t="n"/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</row>
    <row r="2" ht="24" customHeight="1">
      <c r="A2" s="3" t="inlineStr">
        <is>
          <t>2. Divide each criterion by its reference</t>
        </is>
      </c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</row>
    <row r="3" ht="24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</row>
    <row r="4" ht="24" customHeight="1">
      <c r="A4" s="4" t="inlineStr">
        <is>
          <t>Fixed references retain common loss units across contexts. This is our additive-value scaling adaptation.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</row>
    <row r="5" ht="24" customHeight="1">
      <c r="A5" s="31" t="inlineStr">
        <is>
          <t>Development context</t>
        </is>
      </c>
      <c r="B5" s="12">
        <f>WEIGHTS!B5</f>
        <v/>
      </c>
      <c r="C5" s="31" t="n"/>
      <c r="D5" s="31" t="inlineStr">
        <is>
          <t>Preference profile</t>
        </is>
      </c>
      <c r="E5" s="12">
        <f>WEIGHTS!B6</f>
        <v/>
      </c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</row>
    <row r="6" ht="24" customHeight="1">
      <c r="A6" s="31" t="n"/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  <c r="M6" s="31" t="n"/>
      <c r="N6" s="31" t="n"/>
    </row>
    <row r="7" ht="38" customHeight="1">
      <c r="A7" s="7" t="inlineStr">
        <is>
          <t>Policy</t>
        </is>
      </c>
      <c r="B7" s="7" t="inlineStr">
        <is>
          <t>Raw T</t>
        </is>
      </c>
      <c r="C7" s="7" t="inlineStr">
        <is>
          <t>T reference</t>
        </is>
      </c>
      <c r="D7" s="7" t="inlineStr">
        <is>
          <t>Normalized T</t>
        </is>
      </c>
      <c r="E7" s="7" t="inlineStr">
        <is>
          <t>Raw CO2</t>
        </is>
      </c>
      <c r="F7" s="7" t="inlineStr">
        <is>
          <t>CO2 reference</t>
        </is>
      </c>
      <c r="G7" s="7" t="inlineStr">
        <is>
          <t>Normalized CO2</t>
        </is>
      </c>
      <c r="H7" s="7" t="inlineStr">
        <is>
          <t>Raw distance</t>
        </is>
      </c>
      <c r="I7" s="7" t="inlineStr">
        <is>
          <t>Distance ref</t>
        </is>
      </c>
      <c r="J7" s="7" t="inlineStr">
        <is>
          <t>Normalized distance</t>
        </is>
      </c>
      <c r="K7" s="7" t="inlineStr">
        <is>
          <t>Raw P95</t>
        </is>
      </c>
      <c r="L7" s="7" t="inlineStr">
        <is>
          <t>P95 reference</t>
        </is>
      </c>
      <c r="M7" s="7" t="inlineStr">
        <is>
          <t>Normalized P95</t>
        </is>
      </c>
      <c r="N7" s="7" t="inlineStr">
        <is>
          <t>What it means</t>
        </is>
      </c>
    </row>
    <row r="8" ht="44" customHeight="1">
      <c r="A8" s="12">
        <f>DECISION_MATRIX!A8</f>
        <v/>
      </c>
      <c r="B8" s="36">
        <f>DECISION_MATRIX!B8</f>
        <v/>
      </c>
      <c r="C8" s="36">
        <f>WEIGHTS!B22</f>
        <v/>
      </c>
      <c r="D8" s="36">
        <f>B8/C8</f>
        <v/>
      </c>
      <c r="E8" s="36">
        <f>DECISION_MATRIX!C8</f>
        <v/>
      </c>
      <c r="F8" s="36">
        <f>WEIGHTS!C22</f>
        <v/>
      </c>
      <c r="G8" s="36">
        <f>E8/F8</f>
        <v/>
      </c>
      <c r="H8" s="36">
        <f>DECISION_MATRIX!D8</f>
        <v/>
      </c>
      <c r="I8" s="36">
        <f>WEIGHTS!D22</f>
        <v/>
      </c>
      <c r="J8" s="36">
        <f>H8/I8</f>
        <v/>
      </c>
      <c r="K8" s="36">
        <f>DECISION_MATRIX!E8</f>
        <v/>
      </c>
      <c r="L8" s="36">
        <f>WEIGHTS!E22</f>
        <v/>
      </c>
      <c r="M8" s="36">
        <f>K8/L8</f>
        <v/>
      </c>
      <c r="N8" s="8" t="inlineStr">
        <is>
          <t>A value of 1 equals the common development reference; &gt;1 is a larger cost.</t>
        </is>
      </c>
    </row>
    <row r="9" ht="44" customHeight="1">
      <c r="A9" s="12">
        <f>DECISION_MATRIX!A9</f>
        <v/>
      </c>
      <c r="B9" s="36">
        <f>DECISION_MATRIX!B9</f>
        <v/>
      </c>
      <c r="C9" s="36">
        <f>WEIGHTS!B22</f>
        <v/>
      </c>
      <c r="D9" s="36">
        <f>B9/C9</f>
        <v/>
      </c>
      <c r="E9" s="36">
        <f>DECISION_MATRIX!C9</f>
        <v/>
      </c>
      <c r="F9" s="36">
        <f>WEIGHTS!C22</f>
        <v/>
      </c>
      <c r="G9" s="36">
        <f>E9/F9</f>
        <v/>
      </c>
      <c r="H9" s="36">
        <f>DECISION_MATRIX!D9</f>
        <v/>
      </c>
      <c r="I9" s="36">
        <f>WEIGHTS!D22</f>
        <v/>
      </c>
      <c r="J9" s="36">
        <f>H9/I9</f>
        <v/>
      </c>
      <c r="K9" s="36">
        <f>DECISION_MATRIX!E9</f>
        <v/>
      </c>
      <c r="L9" s="36">
        <f>WEIGHTS!E22</f>
        <v/>
      </c>
      <c r="M9" s="36">
        <f>K9/L9</f>
        <v/>
      </c>
      <c r="N9" s="8" t="inlineStr">
        <is>
          <t>A value of 1 equals the common development reference; &gt;1 is a larger cost.</t>
        </is>
      </c>
    </row>
    <row r="10" ht="44" customHeight="1">
      <c r="A10" s="12">
        <f>DECISION_MATRIX!A10</f>
        <v/>
      </c>
      <c r="B10" s="36">
        <f>DECISION_MATRIX!B10</f>
        <v/>
      </c>
      <c r="C10" s="36">
        <f>WEIGHTS!B22</f>
        <v/>
      </c>
      <c r="D10" s="36">
        <f>B10/C10</f>
        <v/>
      </c>
      <c r="E10" s="36">
        <f>DECISION_MATRIX!C10</f>
        <v/>
      </c>
      <c r="F10" s="36">
        <f>WEIGHTS!C22</f>
        <v/>
      </c>
      <c r="G10" s="36">
        <f>E10/F10</f>
        <v/>
      </c>
      <c r="H10" s="36">
        <f>DECISION_MATRIX!D10</f>
        <v/>
      </c>
      <c r="I10" s="36">
        <f>WEIGHTS!D22</f>
        <v/>
      </c>
      <c r="J10" s="36">
        <f>H10/I10</f>
        <v/>
      </c>
      <c r="K10" s="36">
        <f>DECISION_MATRIX!E10</f>
        <v/>
      </c>
      <c r="L10" s="36">
        <f>WEIGHTS!E22</f>
        <v/>
      </c>
      <c r="M10" s="36">
        <f>K10/L10</f>
        <v/>
      </c>
      <c r="N10" s="8" t="inlineStr">
        <is>
          <t>A value of 1 equals the common development reference; &gt;1 is a larger cost.</t>
        </is>
      </c>
    </row>
    <row r="11" ht="44" customHeight="1">
      <c r="A11" s="12">
        <f>DECISION_MATRIX!A11</f>
        <v/>
      </c>
      <c r="B11" s="36">
        <f>DECISION_MATRIX!B11</f>
        <v/>
      </c>
      <c r="C11" s="36">
        <f>WEIGHTS!B22</f>
        <v/>
      </c>
      <c r="D11" s="36">
        <f>B11/C11</f>
        <v/>
      </c>
      <c r="E11" s="36">
        <f>DECISION_MATRIX!C11</f>
        <v/>
      </c>
      <c r="F11" s="36">
        <f>WEIGHTS!C22</f>
        <v/>
      </c>
      <c r="G11" s="36">
        <f>E11/F11</f>
        <v/>
      </c>
      <c r="H11" s="36">
        <f>DECISION_MATRIX!D11</f>
        <v/>
      </c>
      <c r="I11" s="36">
        <f>WEIGHTS!D22</f>
        <v/>
      </c>
      <c r="J11" s="36">
        <f>H11/I11</f>
        <v/>
      </c>
      <c r="K11" s="36">
        <f>DECISION_MATRIX!E11</f>
        <v/>
      </c>
      <c r="L11" s="36">
        <f>WEIGHTS!E22</f>
        <v/>
      </c>
      <c r="M11" s="36">
        <f>K11/L11</f>
        <v/>
      </c>
      <c r="N11" s="8" t="inlineStr">
        <is>
          <t>A value of 1 equals the common development reference; &gt;1 is a larger cost.</t>
        </is>
      </c>
    </row>
    <row r="12" ht="24" customHeight="1">
      <c r="A12" s="31" t="n"/>
      <c r="B12" s="31" t="n"/>
      <c r="C12" s="31" t="n"/>
      <c r="D12" s="31" t="n"/>
      <c r="E12" s="31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31" t="n"/>
    </row>
    <row r="13" ht="24" customHeight="1">
      <c r="A13" s="31" t="n"/>
      <c r="B13" s="31" t="n"/>
      <c r="C13" s="31" t="n"/>
      <c r="D13" s="31" t="n"/>
      <c r="E13" s="31" t="n"/>
      <c r="F13" s="31" t="n"/>
      <c r="G13" s="31" t="n"/>
      <c r="H13" s="31" t="n"/>
      <c r="I13" s="31" t="n"/>
      <c r="J13" s="31" t="n"/>
      <c r="K13" s="31" t="n"/>
      <c r="L13" s="31" t="n"/>
      <c r="M13" s="31" t="n"/>
      <c r="N13" s="31" t="n"/>
    </row>
    <row r="14" ht="24" customHeight="1">
      <c r="A14" s="31" t="n"/>
      <c r="B14" s="31" t="n"/>
      <c r="C14" s="31" t="n"/>
      <c r="D14" s="31" t="n"/>
      <c r="E14" s="31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</row>
    <row r="15" ht="24" customHeight="1">
      <c r="A15" s="31" t="inlineStr">
        <is>
          <t>Example formula</t>
        </is>
      </c>
      <c r="B15" s="31" t="inlineStr">
        <is>
          <t>=B8/C8</t>
        </is>
      </c>
      <c r="C15" s="31" t="n"/>
      <c r="D15" s="31" t="n"/>
      <c r="E15" s="31" t="n"/>
      <c r="F15" s="31" t="n"/>
      <c r="G15" s="31" t="n"/>
      <c r="H15" s="31" t="n"/>
      <c r="I15" s="31" t="n"/>
      <c r="J15" s="31" t="n"/>
      <c r="K15" s="31" t="n"/>
      <c r="L15" s="31" t="n"/>
      <c r="M15" s="31" t="n"/>
      <c r="N15" s="31" t="n"/>
    </row>
    <row r="16" ht="24" customHeight="1">
      <c r="A16" s="31" t="n"/>
      <c r="B16" s="31" t="n"/>
      <c r="C16" s="31" t="n"/>
      <c r="D16" s="31" t="n"/>
      <c r="E16" s="31" t="n"/>
      <c r="F16" s="31" t="n"/>
      <c r="G16" s="31" t="n"/>
      <c r="H16" s="31" t="n"/>
      <c r="I16" s="31" t="n"/>
      <c r="J16" s="31" t="n"/>
      <c r="K16" s="31" t="n"/>
      <c r="L16" s="31" t="n"/>
      <c r="M16" s="31" t="n"/>
      <c r="N16" s="31" t="n"/>
    </row>
    <row r="17" ht="24" customHeight="1">
      <c r="A17" s="31" t="inlineStr">
        <is>
          <t>Original source</t>
        </is>
      </c>
      <c r="B17" s="31" t="inlineStr">
        <is>
          <t>Additive value R15/R16; fixed ratio value function is our disclosed adaptation.</t>
        </is>
      </c>
      <c r="C17" s="31" t="n"/>
      <c r="D17" s="31" t="n"/>
      <c r="E17" s="31" t="n"/>
      <c r="F17" s="31" t="n"/>
      <c r="G17" s="31" t="n"/>
      <c r="H17" s="31" t="n"/>
      <c r="I17" s="31" t="n"/>
      <c r="J17" s="31" t="n"/>
      <c r="K17" s="31" t="n"/>
      <c r="L17" s="31" t="n"/>
      <c r="M17" s="31" t="n"/>
      <c r="N17" s="31" t="n"/>
    </row>
    <row r="18" ht="24" customHeight="1">
      <c r="A18" s="31" t="n"/>
      <c r="B18" s="31" t="n"/>
      <c r="C18" s="31" t="n"/>
      <c r="D18" s="31" t="n"/>
      <c r="E18" s="31" t="n"/>
      <c r="F18" s="31" t="n"/>
      <c r="G18" s="31" t="n"/>
      <c r="H18" s="31" t="n"/>
      <c r="I18" s="31" t="n"/>
      <c r="J18" s="31" t="n"/>
      <c r="K18" s="31" t="n"/>
      <c r="L18" s="31" t="n"/>
      <c r="M18" s="31" t="n"/>
      <c r="N18" s="31" t="n"/>
    </row>
    <row r="19" ht="24" customHeight="1">
      <c r="A19" s="31" t="n"/>
      <c r="B19" s="31" t="n"/>
      <c r="C19" s="31" t="n"/>
      <c r="D19" s="31" t="n"/>
      <c r="E19" s="31" t="n"/>
      <c r="F19" s="31" t="n"/>
      <c r="G19" s="31" t="n"/>
      <c r="H19" s="31" t="n"/>
      <c r="I19" s="31" t="n"/>
      <c r="J19" s="31" t="n"/>
      <c r="K19" s="31" t="n"/>
      <c r="L19" s="31" t="n"/>
      <c r="M19" s="31" t="n"/>
      <c r="N19" s="31" t="n"/>
    </row>
    <row r="20" ht="24" customHeight="1">
      <c r="A20" s="31" t="n"/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1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pane xSplit="1" ySplit="7" topLeftCell="B8" activePane="bottomRight" state="frozen"/>
      <selection activeCell="A1" sqref="A1"/>
    </sheetView>
  </sheetViews>
  <sheetFormatPr baseColWidth="8" defaultRowHeight="15"/>
  <cols>
    <col width="32" customWidth="1" min="1" max="1"/>
    <col width="28" customWidth="1" min="2" max="2"/>
    <col width="29" customWidth="1" min="3" max="3"/>
    <col width="26" customWidth="1" min="4" max="4"/>
    <col width="25" customWidth="1" min="5" max="5"/>
    <col width="24" customWidth="1" min="6" max="6"/>
    <col width="25" customWidth="1" min="7" max="7"/>
  </cols>
  <sheetData>
    <row r="1" ht="24" customHeight="1">
      <c r="A1" s="31" t="n"/>
      <c r="B1" s="31" t="n"/>
      <c r="C1" s="31" t="n"/>
      <c r="D1" s="31" t="n"/>
      <c r="E1" s="31" t="n"/>
      <c r="F1" s="31" t="n"/>
      <c r="G1" s="31" t="n"/>
    </row>
    <row r="2" ht="24" customHeight="1">
      <c r="A2" s="3" t="inlineStr">
        <is>
          <t>The control panel: context, profile and references</t>
        </is>
      </c>
      <c r="B2" s="31" t="n"/>
      <c r="C2" s="31" t="n"/>
      <c r="D2" s="31" t="n"/>
      <c r="E2" s="31" t="n"/>
      <c r="F2" s="31" t="n"/>
      <c r="G2" s="31" t="n"/>
    </row>
    <row r="3" ht="24" customHeight="1">
      <c r="A3" s="31" t="n"/>
      <c r="B3" s="31" t="n"/>
      <c r="C3" s="31" t="n"/>
      <c r="D3" s="31" t="n"/>
      <c r="E3" s="31" t="n"/>
      <c r="F3" s="31" t="n"/>
      <c r="G3" s="31" t="n"/>
    </row>
    <row r="4" ht="24" customHeight="1">
      <c r="A4" s="4" t="inlineStr">
        <is>
          <t>Amber cells are editable analytical assumptions; profiles are NOT elicited stakeholder preferences.</t>
        </is>
      </c>
      <c r="B4" s="31" t="n"/>
      <c r="C4" s="31" t="n"/>
      <c r="D4" s="31" t="n"/>
      <c r="E4" s="31" t="n"/>
      <c r="F4" s="31" t="n"/>
      <c r="G4" s="31" t="n"/>
    </row>
    <row r="5" ht="24" customHeight="1">
      <c r="A5" s="31" t="inlineStr">
        <is>
          <t>Active context</t>
        </is>
      </c>
      <c r="B5" s="17" t="inlineStr">
        <is>
          <t>D011</t>
        </is>
      </c>
      <c r="C5" s="31" t="n"/>
      <c r="D5" s="31" t="n"/>
      <c r="E5" s="31" t="n"/>
      <c r="F5" s="31" t="n"/>
      <c r="G5" s="31" t="n"/>
    </row>
    <row r="6" ht="24" customHeight="1">
      <c r="A6" s="31" t="inlineStr">
        <is>
          <t>Active profile</t>
        </is>
      </c>
      <c r="B6" s="17" t="inlineStr">
        <is>
          <t>Balanced</t>
        </is>
      </c>
      <c r="C6" s="31" t="n"/>
      <c r="D6" s="31" t="n"/>
      <c r="E6" s="31" t="n"/>
      <c r="F6" s="31" t="n"/>
      <c r="G6" s="31" t="n"/>
    </row>
    <row r="7" ht="24" customHeight="1">
      <c r="A7" s="31" t="n"/>
      <c r="B7" s="31" t="n"/>
      <c r="C7" s="31" t="n"/>
      <c r="D7" s="31" t="n"/>
      <c r="E7" s="31" t="n"/>
      <c r="F7" s="31" t="n"/>
      <c r="G7" s="31" t="n"/>
    </row>
    <row r="8" ht="24" customHeight="1">
      <c r="A8" s="31" t="n"/>
      <c r="B8" s="31" t="n"/>
      <c r="C8" s="31" t="n"/>
      <c r="D8" s="31" t="n"/>
      <c r="E8" s="31" t="n"/>
      <c r="F8" s="31" t="n"/>
      <c r="G8" s="31" t="n"/>
    </row>
    <row r="9" ht="38" customHeight="1">
      <c r="A9" s="7" t="inlineStr">
        <is>
          <t>Declared profile</t>
        </is>
      </c>
      <c r="B9" s="7" t="inlineStr">
        <is>
          <t>Time</t>
        </is>
      </c>
      <c r="C9" s="7" t="inlineStr">
        <is>
          <t>CO2</t>
        </is>
      </c>
      <c r="D9" s="7" t="inlineStr">
        <is>
          <t>Distance</t>
        </is>
      </c>
      <c r="E9" s="7" t="inlineStr">
        <is>
          <t>P95</t>
        </is>
      </c>
      <c r="F9" s="7" t="inlineStr">
        <is>
          <t>Weight sum</t>
        </is>
      </c>
      <c r="G9" s="31" t="n"/>
    </row>
    <row r="10" ht="24" customHeight="1">
      <c r="A10" s="31" t="inlineStr">
        <is>
          <t>Balanced</t>
        </is>
      </c>
      <c r="B10" s="37" t="n">
        <v>0.5</v>
      </c>
      <c r="C10" s="37" t="n">
        <v>0.5</v>
      </c>
      <c r="D10" s="37" t="n">
        <v>0</v>
      </c>
      <c r="E10" s="37" t="n">
        <v>0</v>
      </c>
      <c r="F10" s="38">
        <f>SUM(B10:E10)</f>
        <v/>
      </c>
      <c r="G10" s="31" t="n"/>
    </row>
    <row r="11" ht="24" customHeight="1">
      <c r="A11" s="31" t="inlineStr">
        <is>
          <t>Time-heavy</t>
        </is>
      </c>
      <c r="B11" s="37" t="n">
        <v>0.75</v>
      </c>
      <c r="C11" s="37" t="n">
        <v>0.25</v>
      </c>
      <c r="D11" s="37" t="n">
        <v>0</v>
      </c>
      <c r="E11" s="37" t="n">
        <v>0</v>
      </c>
      <c r="F11" s="38">
        <f>SUM(B11:E11)</f>
        <v/>
      </c>
      <c r="G11" s="31" t="n"/>
    </row>
    <row r="12" ht="24" customHeight="1">
      <c r="A12" s="31" t="inlineStr">
        <is>
          <t>Environment-heavy</t>
        </is>
      </c>
      <c r="B12" s="37" t="n">
        <v>0.25</v>
      </c>
      <c r="C12" s="37" t="n">
        <v>0.75</v>
      </c>
      <c r="D12" s="37" t="n">
        <v>0</v>
      </c>
      <c r="E12" s="37" t="n">
        <v>0</v>
      </c>
      <c r="F12" s="38">
        <f>SUM(B12:E12)</f>
        <v/>
      </c>
      <c r="G12" s="31" t="n"/>
    </row>
    <row r="13" ht="24" customHeight="1">
      <c r="A13" s="31" t="inlineStr">
        <is>
          <t>Distance-set</t>
        </is>
      </c>
      <c r="B13" s="37" t="n">
        <v>0.3333333333333333</v>
      </c>
      <c r="C13" s="37" t="n">
        <v>0.3333333333333333</v>
      </c>
      <c r="D13" s="37" t="n">
        <v>0.3333333333333333</v>
      </c>
      <c r="E13" s="37" t="n">
        <v>0</v>
      </c>
      <c r="F13" s="38">
        <f>SUM(B13:E13)</f>
        <v/>
      </c>
      <c r="G13" s="31" t="n"/>
    </row>
    <row r="14" ht="24" customHeight="1">
      <c r="A14" s="31" t="inlineStr">
        <is>
          <t>Tail-set</t>
        </is>
      </c>
      <c r="B14" s="37" t="n">
        <v>0.3333333333333333</v>
      </c>
      <c r="C14" s="37" t="n">
        <v>0.3333333333333333</v>
      </c>
      <c r="D14" s="37" t="n">
        <v>0</v>
      </c>
      <c r="E14" s="37" t="n">
        <v>0.3333333333333333</v>
      </c>
      <c r="F14" s="38">
        <f>SUM(B14:E14)</f>
        <v/>
      </c>
      <c r="G14" s="31" t="n"/>
    </row>
    <row r="15" ht="24" customHeight="1">
      <c r="A15" s="31" t="inlineStr">
        <is>
          <t>Tail-heavy</t>
        </is>
      </c>
      <c r="B15" s="37" t="n">
        <v>0.2</v>
      </c>
      <c r="C15" s="37" t="n">
        <v>0.2</v>
      </c>
      <c r="D15" s="37" t="n">
        <v>0</v>
      </c>
      <c r="E15" s="37" t="n">
        <v>0.6</v>
      </c>
      <c r="F15" s="38">
        <f>SUM(B15:E15)</f>
        <v/>
      </c>
      <c r="G15" s="31" t="n"/>
    </row>
    <row r="16" ht="24" customHeight="1">
      <c r="A16" s="31" t="n"/>
      <c r="B16" s="34" t="n"/>
      <c r="C16" s="34" t="n"/>
      <c r="D16" s="34" t="n"/>
      <c r="E16" s="34" t="n"/>
      <c r="F16" s="34" t="n"/>
      <c r="G16" s="31" t="n"/>
    </row>
    <row r="17" ht="24" customHeight="1">
      <c r="A17" s="31" t="n"/>
      <c r="B17" s="34" t="n"/>
      <c r="C17" s="34" t="n"/>
      <c r="D17" s="34" t="n"/>
      <c r="E17" s="34" t="n"/>
      <c r="F17" s="34" t="n"/>
      <c r="G17" s="31" t="n"/>
    </row>
    <row r="18" ht="38" customHeight="1">
      <c r="A18" s="7" t="inlineStr">
        <is>
          <t>Active values</t>
        </is>
      </c>
      <c r="B18" s="39" t="inlineStr">
        <is>
          <t>Time</t>
        </is>
      </c>
      <c r="C18" s="39" t="inlineStr">
        <is>
          <t>CO2</t>
        </is>
      </c>
      <c r="D18" s="39" t="inlineStr">
        <is>
          <t>Distance</t>
        </is>
      </c>
      <c r="E18" s="39" t="inlineStr">
        <is>
          <t>P95</t>
        </is>
      </c>
      <c r="F18" s="39" t="inlineStr">
        <is>
          <t>Check</t>
        </is>
      </c>
      <c r="G18" s="31" t="n"/>
    </row>
    <row r="19" ht="24" customHeight="1">
      <c r="A19" s="31" t="inlineStr">
        <is>
          <t>Active weights</t>
        </is>
      </c>
      <c r="B19" s="38">
        <f>INDEX(B10:B15,MATCH($B$6,$A$10:$A$15,0))</f>
        <v/>
      </c>
      <c r="C19" s="38">
        <f>INDEX(C10:C15,MATCH($B$6,$A$10:$A$15,0))</f>
        <v/>
      </c>
      <c r="D19" s="38">
        <f>INDEX(D10:D15,MATCH($B$6,$A$10:$A$15,0))</f>
        <v/>
      </c>
      <c r="E19" s="38">
        <f>INDEX(E10:E15,MATCH($B$6,$A$10:$A$15,0))</f>
        <v/>
      </c>
      <c r="F19" s="38">
        <f>IF(AND(ABS(SUM(B19:E19)-1)&lt;0.000000001,MIN(B19:E19)&gt;=0),"OK","INVALID")</f>
        <v/>
      </c>
      <c r="G19" s="31" t="n"/>
    </row>
    <row r="20" ht="24" customHeight="1">
      <c r="A20" s="31" t="n"/>
      <c r="B20" s="31" t="n"/>
      <c r="C20" s="31" t="n"/>
      <c r="D20" s="31" t="n"/>
      <c r="E20" s="31" t="n"/>
      <c r="F20" s="31" t="n"/>
      <c r="G20" s="31" t="n"/>
    </row>
    <row r="21" ht="24" customHeight="1">
      <c r="A21" s="31" t="n"/>
      <c r="B21" s="31" t="n"/>
      <c r="C21" s="31" t="n"/>
      <c r="D21" s="31" t="n"/>
      <c r="E21" s="31" t="n"/>
      <c r="F21" s="31" t="n"/>
      <c r="G21" s="31" t="n"/>
    </row>
    <row r="22" ht="24" customHeight="1">
      <c r="A22" s="31" t="inlineStr">
        <is>
          <t>Development references</t>
        </is>
      </c>
      <c r="B22" s="36">
        <f>SUMIF(REDESIGN_RESULTS!$H$8:$H$151,1,REDESIGN_RESULTS!$D$8:$D$151)/COUNTIF(REDESIGN_RESULTS!$H$8:$H$151,1)</f>
        <v/>
      </c>
      <c r="C22" s="36">
        <f>SUMIF(REDESIGN_RESULTS!$H$8:$H$151,1,REDESIGN_RESULTS!$E$8:$E$151)/COUNTIF(REDESIGN_RESULTS!$H$8:$H$151,1)</f>
        <v/>
      </c>
      <c r="D22" s="36">
        <f>SUMIF(REDESIGN_RESULTS!$H$8:$H$151,1,REDESIGN_RESULTS!$F$8:$F$151)/COUNTIF(REDESIGN_RESULTS!$H$8:$H$151,1)</f>
        <v/>
      </c>
      <c r="E22" s="36">
        <f>SUMIF(REDESIGN_RESULTS!$H$8:$H$151,1,REDESIGN_RESULTS!$G$8:$G$151)/COUNTIF(REDESIGN_RESULTS!$H$8:$H$151,1)</f>
        <v/>
      </c>
      <c r="F22" s="31" t="n"/>
      <c r="G22" s="31" t="n"/>
    </row>
    <row r="23" ht="24" customHeight="1">
      <c r="A23" s="31" t="n"/>
      <c r="B23" s="31" t="n"/>
      <c r="C23" s="31" t="n"/>
      <c r="D23" s="31" t="n"/>
      <c r="E23" s="31" t="n"/>
      <c r="F23" s="31" t="n"/>
      <c r="G23" s="31" t="n"/>
    </row>
    <row r="24" ht="24" customHeight="1">
      <c r="A24" s="31" t="inlineStr">
        <is>
          <t>Reference meaning</t>
        </is>
      </c>
      <c r="B24" s="31" t="inlineStr">
        <is>
          <t>Equal mean over 24 x 4 development policy-context means; NOT final training scaling.</t>
        </is>
      </c>
      <c r="C24" s="31" t="n"/>
      <c r="D24" s="31" t="n"/>
      <c r="E24" s="31" t="n"/>
      <c r="F24" s="31" t="n"/>
      <c r="G24" s="31" t="n"/>
    </row>
    <row r="25" ht="24" customHeight="1">
      <c r="A25" s="31" t="n"/>
      <c r="B25" s="31" t="n"/>
      <c r="C25" s="31" t="n"/>
      <c r="D25" s="31" t="n"/>
      <c r="E25" s="31" t="n"/>
      <c r="F25" s="31" t="n"/>
      <c r="G25" s="31" t="n"/>
    </row>
    <row r="26" ht="24" customHeight="1">
      <c r="A26" s="31" t="inlineStr">
        <is>
          <t>Tie tolerance</t>
        </is>
      </c>
      <c r="B26" s="31" t="n">
        <v>1e-10</v>
      </c>
      <c r="C26" s="31" t="n"/>
      <c r="D26" s="31" t="n"/>
      <c r="E26" s="31" t="n"/>
      <c r="F26" s="31" t="n"/>
      <c r="G26" s="31" t="n"/>
    </row>
    <row r="27" ht="24" customHeight="1">
      <c r="A27" s="31" t="inlineStr">
        <is>
          <t>Near-best tolerance</t>
        </is>
      </c>
      <c r="B27" s="17" t="n">
        <v>0.02</v>
      </c>
      <c r="C27" s="31" t="inlineStr">
        <is>
          <t>Illustrative loss units; inspect .01/.02/.05; not an elicited meaningful threshold.</t>
        </is>
      </c>
      <c r="D27" s="31" t="n"/>
      <c r="E27" s="31" t="n"/>
      <c r="F27" s="31" t="n"/>
      <c r="G27" s="31" t="n"/>
    </row>
    <row r="28" ht="24" customHeight="1">
      <c r="A28" s="31" t="n"/>
      <c r="B28" s="31" t="n"/>
      <c r="C28" s="31" t="n"/>
      <c r="D28" s="31" t="n"/>
      <c r="E28" s="31" t="n"/>
      <c r="F28" s="31" t="n"/>
      <c r="G28" s="31" t="n"/>
    </row>
    <row r="29" ht="24" customHeight="1">
      <c r="A29" s="31" t="inlineStr">
        <is>
          <t>Primary recommendation</t>
        </is>
      </c>
      <c r="B29" s="31" t="inlineStr">
        <is>
          <t>Time + CO2. Distance/P95 profiles are development sensitivity only.</t>
        </is>
      </c>
      <c r="C29" s="31" t="n"/>
      <c r="D29" s="31" t="n"/>
      <c r="E29" s="31" t="n"/>
      <c r="F29" s="31" t="n"/>
      <c r="G29" s="31" t="n"/>
    </row>
    <row r="30" ht="24" customHeight="1">
      <c r="A30" s="31" t="n"/>
      <c r="B30" s="31" t="n"/>
      <c r="C30" s="31" t="n"/>
      <c r="D30" s="31" t="n"/>
      <c r="E30" s="31" t="n"/>
      <c r="F30" s="31" t="n"/>
      <c r="G30" s="31" t="n"/>
    </row>
    <row r="31" ht="24" customHeight="1">
      <c r="A31" s="31" t="inlineStr">
        <is>
          <t>VIKOR convention</t>
        </is>
      </c>
      <c r="B31" s="31" t="inlineStr">
        <is>
          <t>Kosijer eq11: min(0.25, 1/(m-1)); v=0.5; compare compromise sets.</t>
        </is>
      </c>
      <c r="C31" s="31" t="n"/>
      <c r="D31" s="31" t="n"/>
      <c r="E31" s="31" t="n"/>
      <c r="F31" s="31" t="n"/>
      <c r="G31" s="31" t="n"/>
    </row>
    <row r="32" ht="24" customHeight="1">
      <c r="A32" s="31" t="n"/>
      <c r="B32" s="31" t="n"/>
      <c r="C32" s="31" t="n"/>
      <c r="D32" s="31" t="n"/>
      <c r="E32" s="31" t="n"/>
      <c r="F32" s="31" t="n"/>
      <c r="G32" s="31" t="n"/>
    </row>
    <row r="33" ht="24" customHeight="1">
      <c r="A33" s="31" t="inlineStr">
        <is>
          <t>Scale caveat</t>
        </is>
      </c>
      <c r="B33" s="31" t="inlineStr">
        <is>
          <t>Cost increment per physical unit = weight/reference; weights alone do not state trade-offs.</t>
        </is>
      </c>
      <c r="C33" s="31" t="n"/>
      <c r="D33" s="31" t="n"/>
      <c r="E33" s="31" t="n"/>
      <c r="F33" s="31" t="n"/>
      <c r="G33" s="31" t="n"/>
    </row>
    <row r="34" ht="24" customHeight="1">
      <c r="A34" s="31" t="n"/>
      <c r="B34" s="31" t="n"/>
      <c r="C34" s="31" t="n"/>
      <c r="D34" s="31" t="n"/>
      <c r="E34" s="31" t="n"/>
      <c r="F34" s="31" t="n"/>
      <c r="G34" s="31" t="n"/>
    </row>
    <row r="35" ht="24" customHeight="1">
      <c r="A35" s="31" t="n"/>
      <c r="B35" s="31" t="n"/>
      <c r="C35" s="31" t="n"/>
      <c r="D35" s="31" t="n"/>
      <c r="E35" s="31" t="n"/>
      <c r="F35" s="31" t="n"/>
      <c r="G35" s="31" t="n"/>
    </row>
  </sheetData>
  <dataValidations count="2">
    <dataValidation sqref="B5" showDropDown="0" showInputMessage="0" showErrorMessage="0" allowBlank="0" type="list">
      <formula1>"D001,D002,D003,D004,D005,D006,D007,D008,D009,D010,D011,D012,D013,D014,D015,D016,D017,D018,D019,D020,D021,D022,D023,D024"</formula1>
    </dataValidation>
    <dataValidation sqref="B6" showDropDown="0" showInputMessage="0" showErrorMessage="0" allowBlank="0" type="list">
      <formula1>"Balanced,Time-heavy,Environment-heavy,Distance-set,Tail-set,Tail-heavy"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7"/>
  <sheetViews>
    <sheetView showGridLines="0" workbookViewId="0">
      <pane xSplit="1" ySplit="7" topLeftCell="B8" activePane="bottomRight" state="frozen"/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  <col width="25" customWidth="1" min="4" max="4"/>
    <col width="24" customWidth="1" min="5" max="5"/>
    <col width="20" customWidth="1" min="6" max="6"/>
    <col width="20" customWidth="1" min="7" max="7"/>
    <col width="22" customWidth="1" min="8" max="8"/>
    <col width="20" customWidth="1" min="9" max="9"/>
    <col width="27" customWidth="1" min="10" max="10"/>
    <col width="29" customWidth="1" min="11" max="11"/>
    <col width="32" customWidth="1" min="12" max="12"/>
    <col width="28" customWidth="1" min="13" max="13"/>
    <col width="24" customWidth="1" min="14" max="14"/>
  </cols>
  <sheetData>
    <row r="1" ht="24" customHeight="1">
      <c r="A1" s="31" t="n"/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</row>
    <row r="2" ht="24" customHeight="1">
      <c r="A2" s="3" t="inlineStr">
        <is>
          <t>3. Weight, add, rank, choose and calculate regret</t>
        </is>
      </c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</row>
    <row r="3" ht="24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</row>
    <row r="4" ht="24" customHeight="1">
      <c r="A4" s="4" t="inlineStr">
        <is>
          <t>Smaller additive cost is preferred. All calculations remain visible and traceable.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</row>
    <row r="5" ht="24" customHeight="1">
      <c r="A5" s="31" t="inlineStr">
        <is>
          <t>Development context</t>
        </is>
      </c>
      <c r="B5" s="12">
        <f>WEIGHTS!B5</f>
        <v/>
      </c>
      <c r="C5" s="31" t="n"/>
      <c r="D5" s="31" t="inlineStr">
        <is>
          <t>Preference profile</t>
        </is>
      </c>
      <c r="E5" s="12">
        <f>WEIGHTS!B6</f>
        <v/>
      </c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</row>
    <row r="6" ht="24" customHeight="1">
      <c r="A6" s="31" t="n"/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  <c r="M6" s="31" t="n"/>
      <c r="N6" s="31" t="n"/>
    </row>
    <row r="7" ht="38" customHeight="1">
      <c r="A7" s="7" t="inlineStr">
        <is>
          <t>Policy</t>
        </is>
      </c>
      <c r="B7" s="7" t="inlineStr">
        <is>
          <t>Norm time</t>
        </is>
      </c>
      <c r="C7" s="7" t="inlineStr">
        <is>
          <t>Norm CO2</t>
        </is>
      </c>
      <c r="D7" s="7" t="inlineStr">
        <is>
          <t>Norm distance</t>
        </is>
      </c>
      <c r="E7" s="7" t="inlineStr">
        <is>
          <t>Norm P95</t>
        </is>
      </c>
      <c r="F7" s="7" t="inlineStr">
        <is>
          <t>w time</t>
        </is>
      </c>
      <c r="G7" s="7" t="inlineStr">
        <is>
          <t>w CO2</t>
        </is>
      </c>
      <c r="H7" s="7" t="inlineStr">
        <is>
          <t>w distance</t>
        </is>
      </c>
      <c r="I7" s="7" t="inlineStr">
        <is>
          <t>w P95</t>
        </is>
      </c>
      <c r="J7" s="7" t="inlineStr">
        <is>
          <t>Contribution T</t>
        </is>
      </c>
      <c r="K7" s="7" t="inlineStr">
        <is>
          <t>Contribution CO2</t>
        </is>
      </c>
      <c r="L7" s="7" t="inlineStr">
        <is>
          <t>Contribution distance</t>
        </is>
      </c>
      <c r="M7" s="7" t="inlineStr">
        <is>
          <t>Contribution P95</t>
        </is>
      </c>
      <c r="N7" s="7" t="inlineStr">
        <is>
          <t>Final cost</t>
        </is>
      </c>
    </row>
    <row r="8" ht="24" customHeight="1">
      <c r="A8" s="12">
        <f>DECISION_MATRIX!A8</f>
        <v/>
      </c>
      <c r="B8" s="36">
        <f>NORMALIZATION!D8</f>
        <v/>
      </c>
      <c r="C8" s="36">
        <f>NORMALIZATION!G8</f>
        <v/>
      </c>
      <c r="D8" s="36">
        <f>NORMALIZATION!J8</f>
        <v/>
      </c>
      <c r="E8" s="36">
        <f>NORMALIZATION!M8</f>
        <v/>
      </c>
      <c r="F8" s="36">
        <f>WEIGHTS!B19</f>
        <v/>
      </c>
      <c r="G8" s="36">
        <f>WEIGHTS!C19</f>
        <v/>
      </c>
      <c r="H8" s="36">
        <f>WEIGHTS!D19</f>
        <v/>
      </c>
      <c r="I8" s="36">
        <f>WEIGHTS!E19</f>
        <v/>
      </c>
      <c r="J8" s="36">
        <f>B8*F8</f>
        <v/>
      </c>
      <c r="K8" s="36">
        <f>C8*G8</f>
        <v/>
      </c>
      <c r="L8" s="36">
        <f>D8*H8</f>
        <v/>
      </c>
      <c r="M8" s="36">
        <f>E8*I8</f>
        <v/>
      </c>
      <c r="N8" s="36">
        <f>IF(WEIGHTS!F19="OK",SUM(J8:M8),"INVALID WEIGHTS")</f>
        <v/>
      </c>
    </row>
    <row r="9" ht="24" customHeight="1">
      <c r="A9" s="12">
        <f>DECISION_MATRIX!A9</f>
        <v/>
      </c>
      <c r="B9" s="36">
        <f>NORMALIZATION!D9</f>
        <v/>
      </c>
      <c r="C9" s="36">
        <f>NORMALIZATION!G9</f>
        <v/>
      </c>
      <c r="D9" s="36">
        <f>NORMALIZATION!J9</f>
        <v/>
      </c>
      <c r="E9" s="36">
        <f>NORMALIZATION!M9</f>
        <v/>
      </c>
      <c r="F9" s="36">
        <f>WEIGHTS!B19</f>
        <v/>
      </c>
      <c r="G9" s="36">
        <f>WEIGHTS!C19</f>
        <v/>
      </c>
      <c r="H9" s="36">
        <f>WEIGHTS!D19</f>
        <v/>
      </c>
      <c r="I9" s="36">
        <f>WEIGHTS!E19</f>
        <v/>
      </c>
      <c r="J9" s="36">
        <f>B9*F9</f>
        <v/>
      </c>
      <c r="K9" s="36">
        <f>C9*G9</f>
        <v/>
      </c>
      <c r="L9" s="36">
        <f>D9*H9</f>
        <v/>
      </c>
      <c r="M9" s="36">
        <f>E9*I9</f>
        <v/>
      </c>
      <c r="N9" s="36">
        <f>IF(WEIGHTS!F19="OK",SUM(J9:M9),"INVALID WEIGHTS")</f>
        <v/>
      </c>
    </row>
    <row r="10" ht="24" customHeight="1">
      <c r="A10" s="12">
        <f>DECISION_MATRIX!A10</f>
        <v/>
      </c>
      <c r="B10" s="36">
        <f>NORMALIZATION!D10</f>
        <v/>
      </c>
      <c r="C10" s="36">
        <f>NORMALIZATION!G10</f>
        <v/>
      </c>
      <c r="D10" s="36">
        <f>NORMALIZATION!J10</f>
        <v/>
      </c>
      <c r="E10" s="36">
        <f>NORMALIZATION!M10</f>
        <v/>
      </c>
      <c r="F10" s="36">
        <f>WEIGHTS!B19</f>
        <v/>
      </c>
      <c r="G10" s="36">
        <f>WEIGHTS!C19</f>
        <v/>
      </c>
      <c r="H10" s="36">
        <f>WEIGHTS!D19</f>
        <v/>
      </c>
      <c r="I10" s="36">
        <f>WEIGHTS!E19</f>
        <v/>
      </c>
      <c r="J10" s="36">
        <f>B10*F10</f>
        <v/>
      </c>
      <c r="K10" s="36">
        <f>C10*G10</f>
        <v/>
      </c>
      <c r="L10" s="36">
        <f>D10*H10</f>
        <v/>
      </c>
      <c r="M10" s="36">
        <f>E10*I10</f>
        <v/>
      </c>
      <c r="N10" s="36">
        <f>IF(WEIGHTS!F19="OK",SUM(J10:M10),"INVALID WEIGHTS")</f>
        <v/>
      </c>
    </row>
    <row r="11" ht="24" customHeight="1">
      <c r="A11" s="12">
        <f>DECISION_MATRIX!A11</f>
        <v/>
      </c>
      <c r="B11" s="36">
        <f>NORMALIZATION!D11</f>
        <v/>
      </c>
      <c r="C11" s="36">
        <f>NORMALIZATION!G11</f>
        <v/>
      </c>
      <c r="D11" s="36">
        <f>NORMALIZATION!J11</f>
        <v/>
      </c>
      <c r="E11" s="36">
        <f>NORMALIZATION!M11</f>
        <v/>
      </c>
      <c r="F11" s="36">
        <f>WEIGHTS!B19</f>
        <v/>
      </c>
      <c r="G11" s="36">
        <f>WEIGHTS!C19</f>
        <v/>
      </c>
      <c r="H11" s="36">
        <f>WEIGHTS!D19</f>
        <v/>
      </c>
      <c r="I11" s="36">
        <f>WEIGHTS!E19</f>
        <v/>
      </c>
      <c r="J11" s="36">
        <f>B11*F11</f>
        <v/>
      </c>
      <c r="K11" s="36">
        <f>C11*G11</f>
        <v/>
      </c>
      <c r="L11" s="36">
        <f>D11*H11</f>
        <v/>
      </c>
      <c r="M11" s="36">
        <f>E11*I11</f>
        <v/>
      </c>
      <c r="N11" s="36">
        <f>IF(WEIGHTS!F19="OK",SUM(J11:M11),"INVALID WEIGHTS")</f>
        <v/>
      </c>
    </row>
    <row r="12" ht="24" customHeight="1">
      <c r="A12" s="31" t="n"/>
      <c r="B12" s="31" t="n"/>
      <c r="C12" s="31" t="n"/>
      <c r="D12" s="31" t="n"/>
      <c r="E12" s="31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31" t="n"/>
    </row>
    <row r="13" ht="24" customHeight="1">
      <c r="A13" s="31" t="n"/>
      <c r="B13" s="31" t="n"/>
      <c r="C13" s="31" t="n"/>
      <c r="D13" s="31" t="n"/>
      <c r="E13" s="31" t="n"/>
      <c r="F13" s="31" t="n"/>
      <c r="G13" s="31" t="n"/>
      <c r="H13" s="31" t="n"/>
      <c r="I13" s="31" t="n"/>
      <c r="J13" s="31" t="n"/>
      <c r="K13" s="31" t="n"/>
      <c r="L13" s="31" t="n"/>
      <c r="M13" s="31" t="n"/>
      <c r="N13" s="31" t="n"/>
    </row>
    <row r="14" ht="24" customHeight="1">
      <c r="A14" s="31" t="n"/>
      <c r="B14" s="31" t="n"/>
      <c r="C14" s="31" t="n"/>
      <c r="D14" s="31" t="n"/>
      <c r="E14" s="31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</row>
    <row r="15" ht="38" customHeight="1">
      <c r="A15" s="7" t="inlineStr">
        <is>
          <t>Policy</t>
        </is>
      </c>
      <c r="B15" s="7" t="inlineStr">
        <is>
          <t>Final cost</t>
        </is>
      </c>
      <c r="C15" s="7" t="inlineStr">
        <is>
          <t>Numerical rank</t>
        </is>
      </c>
      <c r="D15" s="7" t="inlineStr">
        <is>
          <t>Regret</t>
        </is>
      </c>
      <c r="E15" s="7" t="inlineStr">
        <is>
          <t>Near-best?</t>
        </is>
      </c>
      <c r="F15" s="31" t="n"/>
      <c r="G15" s="31" t="n"/>
      <c r="H15" s="31" t="n"/>
      <c r="I15" s="31" t="n"/>
      <c r="J15" s="31" t="n"/>
      <c r="K15" s="31" t="n"/>
      <c r="L15" s="31" t="n"/>
      <c r="M15" s="31" t="n"/>
      <c r="N15" s="31" t="n"/>
    </row>
    <row r="16" ht="24" customHeight="1">
      <c r="A16" s="12">
        <f>A8</f>
        <v/>
      </c>
      <c r="B16" s="40">
        <f>N8</f>
        <v/>
      </c>
      <c r="C16" s="41">
        <f>COUNTIF($B$16:$B$19,"&lt;"&amp;(B16-WEIGHTS!$B$26))+1</f>
        <v/>
      </c>
      <c r="D16" s="40">
        <f>B16-MIN($B$16:$B$19)</f>
        <v/>
      </c>
      <c r="E16" s="12">
        <f>IF(D16&lt;=WEIGHTS!$B$27,"YES","NO")</f>
        <v/>
      </c>
      <c r="F16" s="31" t="n"/>
      <c r="G16" s="31" t="n"/>
      <c r="H16" s="31" t="n"/>
      <c r="I16" s="31" t="n"/>
      <c r="J16" s="31" t="n"/>
      <c r="K16" s="31" t="n"/>
      <c r="L16" s="31" t="n"/>
      <c r="M16" s="31" t="n"/>
      <c r="N16" s="31" t="n"/>
    </row>
    <row r="17" ht="24" customHeight="1">
      <c r="A17" s="12">
        <f>A9</f>
        <v/>
      </c>
      <c r="B17" s="40">
        <f>N9</f>
        <v/>
      </c>
      <c r="C17" s="41">
        <f>COUNTIF($B$16:$B$19,"&lt;"&amp;(B17-WEIGHTS!$B$26))+1</f>
        <v/>
      </c>
      <c r="D17" s="40">
        <f>B17-MIN($B$16:$B$19)</f>
        <v/>
      </c>
      <c r="E17" s="12">
        <f>IF(D17&lt;=WEIGHTS!$B$27,"YES","NO")</f>
        <v/>
      </c>
      <c r="F17" s="31" t="n"/>
      <c r="G17" s="31" t="n"/>
      <c r="H17" s="31" t="n"/>
      <c r="I17" s="31" t="n"/>
      <c r="J17" s="31" t="n"/>
      <c r="K17" s="31" t="n"/>
      <c r="L17" s="31" t="n"/>
      <c r="M17" s="31" t="n"/>
      <c r="N17" s="31" t="n"/>
    </row>
    <row r="18" ht="24" customHeight="1">
      <c r="A18" s="12">
        <f>A10</f>
        <v/>
      </c>
      <c r="B18" s="40">
        <f>N10</f>
        <v/>
      </c>
      <c r="C18" s="41">
        <f>COUNTIF($B$16:$B$19,"&lt;"&amp;(B18-WEIGHTS!$B$26))+1</f>
        <v/>
      </c>
      <c r="D18" s="40">
        <f>B18-MIN($B$16:$B$19)</f>
        <v/>
      </c>
      <c r="E18" s="12">
        <f>IF(D18&lt;=WEIGHTS!$B$27,"YES","NO")</f>
        <v/>
      </c>
      <c r="F18" s="31" t="n"/>
      <c r="G18" s="31" t="n"/>
      <c r="H18" s="31" t="n"/>
      <c r="I18" s="31" t="n"/>
      <c r="J18" s="31" t="n"/>
      <c r="K18" s="31" t="n"/>
      <c r="L18" s="31" t="n"/>
      <c r="M18" s="31" t="n"/>
      <c r="N18" s="31" t="n"/>
    </row>
    <row r="19" ht="24" customHeight="1">
      <c r="A19" s="12">
        <f>A11</f>
        <v/>
      </c>
      <c r="B19" s="40">
        <f>N11</f>
        <v/>
      </c>
      <c r="C19" s="41">
        <f>COUNTIF($B$16:$B$19,"&lt;"&amp;(B19-WEIGHTS!$B$26))+1</f>
        <v/>
      </c>
      <c r="D19" s="40">
        <f>B19-MIN($B$16:$B$19)</f>
        <v/>
      </c>
      <c r="E19" s="12">
        <f>IF(D19&lt;=WEIGHTS!$B$27,"YES","NO")</f>
        <v/>
      </c>
      <c r="F19" s="31" t="n"/>
      <c r="G19" s="31" t="n"/>
      <c r="H19" s="31" t="n"/>
      <c r="I19" s="31" t="n"/>
      <c r="J19" s="31" t="n"/>
      <c r="K19" s="31" t="n"/>
      <c r="L19" s="31" t="n"/>
      <c r="M19" s="31" t="n"/>
      <c r="N19" s="31" t="n"/>
    </row>
    <row r="20" ht="24" customHeight="1">
      <c r="A20" s="31" t="n"/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1" t="n"/>
    </row>
    <row r="21" ht="24" customHeight="1">
      <c r="A21" s="31" t="n"/>
      <c r="B21" s="31" t="n"/>
      <c r="C21" s="31" t="n"/>
      <c r="D21" s="31" t="n"/>
      <c r="E21" s="31" t="n"/>
      <c r="F21" s="31" t="n"/>
      <c r="G21" s="31" t="n"/>
      <c r="H21" s="31" t="n"/>
      <c r="I21" s="31" t="n"/>
      <c r="J21" s="31" t="n"/>
      <c r="K21" s="31" t="n"/>
      <c r="L21" s="31" t="n"/>
      <c r="M21" s="31" t="n"/>
      <c r="N21" s="31" t="n"/>
    </row>
    <row r="22" ht="24" customHeight="1">
      <c r="A22" s="31" t="inlineStr">
        <is>
          <t>Selected policy</t>
        </is>
      </c>
      <c r="B22" s="23">
        <f>INDEX(A16:A19,MATCH(MIN(C16:C19),C16:C19,0))</f>
        <v/>
      </c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  <c r="M22" s="31" t="n"/>
      <c r="N22" s="31" t="n"/>
    </row>
    <row r="23" ht="24" customHeight="1">
      <c r="A23" s="31" t="n"/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</row>
    <row r="24" ht="24" customHeight="1">
      <c r="A24" s="31" t="inlineStr">
        <is>
          <t>Score formula</t>
        </is>
      </c>
      <c r="B24" s="31" t="inlineStr">
        <is>
          <t>=SUM(J8:M8)</t>
        </is>
      </c>
      <c r="C24" s="31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</row>
    <row r="25" ht="24" customHeight="1">
      <c r="A25" s="31" t="n"/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</row>
    <row r="26" ht="24" customHeight="1">
      <c r="A26" s="31" t="inlineStr">
        <is>
          <t>Regret formula</t>
        </is>
      </c>
      <c r="B26" s="31" t="inlineStr">
        <is>
          <t>=B16-MIN($B$16:$B$19)</t>
        </is>
      </c>
      <c r="C26" s="31" t="n"/>
      <c r="D26" s="31" t="n"/>
      <c r="E26" s="31" t="n"/>
      <c r="F26" s="31" t="n"/>
      <c r="G26" s="31" t="n"/>
      <c r="H26" s="31" t="n"/>
      <c r="I26" s="31" t="n"/>
      <c r="J26" s="31" t="n"/>
      <c r="K26" s="31" t="n"/>
      <c r="L26" s="31" t="n"/>
      <c r="M26" s="31" t="n"/>
      <c r="N26" s="31" t="n"/>
    </row>
    <row r="27" ht="24" customHeight="1">
      <c r="A27" s="31" t="n"/>
      <c r="B27" s="31" t="n"/>
      <c r="C27" s="31" t="n"/>
      <c r="D27" s="31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</row>
    <row r="28" ht="24" customHeight="1">
      <c r="A28" s="31" t="inlineStr">
        <is>
          <t>Tie rule</t>
        </is>
      </c>
      <c r="B28" s="31" t="inlineStr">
        <is>
          <t>First declared policy among numerical rank 1; near-best is separately defined.</t>
        </is>
      </c>
      <c r="C28" s="31" t="n"/>
      <c r="D28" s="31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1" t="n"/>
    </row>
    <row r="29" ht="24" customHeight="1">
      <c r="A29" s="31" t="n"/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</row>
    <row r="30" ht="24" customHeight="1">
      <c r="A30" s="31" t="n"/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</row>
    <row r="31" ht="24" customHeight="1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</row>
    <row r="32" ht="24" customHeight="1">
      <c r="A32" s="31" t="n"/>
      <c r="B32" s="31" t="n"/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</row>
    <row r="33" ht="24" customHeight="1">
      <c r="A33" s="31" t="n"/>
      <c r="B33" s="31" t="n"/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</row>
    <row r="34" ht="24" customHeight="1">
      <c r="A34" s="31" t="n"/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</row>
    <row r="35" ht="24" customHeight="1">
      <c r="A35" s="31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</row>
    <row r="36" ht="24" customHeight="1">
      <c r="A36" s="31" t="n"/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</row>
    <row r="37" ht="24" customHeight="1">
      <c r="A37" s="31" t="n"/>
      <c r="B37" s="31" t="n"/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</row>
  </sheetData>
  <conditionalFormatting sqref="A16:E19">
    <cfRule type="expression" priority="1" dxfId="0">
      <formula>$C16=1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3"/>
  <sheetViews>
    <sheetView showGridLines="0" workbookViewId="0">
      <pane xSplit="1" ySplit="7" topLeftCell="B8" activePane="bottomRight" state="frozen"/>
      <selection activeCell="A1" sqref="A1"/>
    </sheetView>
  </sheetViews>
  <sheetFormatPr baseColWidth="8" defaultRowHeight="15"/>
  <cols>
    <col width="34" customWidth="1" min="1" max="1"/>
    <col width="27" customWidth="1" min="2" max="2"/>
    <col width="30" customWidth="1" min="3" max="3"/>
    <col width="35" customWidth="1" min="4" max="4"/>
    <col width="30" customWidth="1" min="5" max="5"/>
    <col width="22" customWidth="1" min="6" max="6"/>
    <col width="24" customWidth="1" min="7" max="7"/>
    <col width="24" customWidth="1" min="8" max="8"/>
    <col width="24" customWidth="1" min="9" max="9"/>
    <col width="25" customWidth="1" min="10" max="10"/>
    <col width="25" customWidth="1" min="11" max="11"/>
    <col width="25" customWidth="1" min="12" max="12"/>
    <col width="20" customWidth="1" min="13" max="13"/>
  </cols>
  <sheetData>
    <row r="1" ht="24" customHeight="1">
      <c r="A1" s="31" t="n"/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</row>
    <row r="2" ht="24" customHeight="1">
      <c r="A2" s="3" t="inlineStr">
        <is>
          <t>VIKOR sensitivity: follow the actual cited variant</t>
        </is>
      </c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</row>
    <row r="3" ht="24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</row>
    <row r="4" ht="24" customHeight="1">
      <c r="A4" s="4" t="inlineStr">
        <is>
          <t>Kosijer et al. 2012, §3.3, eqs7–11. This is within-context compromise ranking, not common-scale scenario regret.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</row>
    <row r="5" ht="24" customHeight="1">
      <c r="A5" s="31" t="inlineStr">
        <is>
          <t>Development context</t>
        </is>
      </c>
      <c r="B5" s="12">
        <f>WEIGHTS!B5</f>
        <v/>
      </c>
      <c r="C5" s="31" t="n"/>
      <c r="D5" s="31" t="inlineStr">
        <is>
          <t>Preference profile</t>
        </is>
      </c>
      <c r="E5" s="12">
        <f>WEIGHTS!B6</f>
        <v/>
      </c>
      <c r="F5" s="31" t="n"/>
      <c r="G5" s="31" t="n"/>
      <c r="H5" s="31" t="n"/>
      <c r="I5" s="31" t="n"/>
      <c r="J5" s="31" t="n"/>
      <c r="K5" s="31" t="n"/>
      <c r="L5" s="31" t="n"/>
      <c r="M5" s="31" t="n"/>
    </row>
    <row r="6" ht="24" customHeight="1">
      <c r="A6" s="31" t="n"/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  <c r="M6" s="31" t="n"/>
    </row>
    <row r="7" ht="38" customHeight="1">
      <c r="A7" s="7" t="inlineStr">
        <is>
          <t>Policy</t>
        </is>
      </c>
      <c r="B7" s="7" t="inlineStr">
        <is>
          <t>Weighted loss T</t>
        </is>
      </c>
      <c r="C7" s="7" t="inlineStr">
        <is>
          <t>Weighted loss CO2</t>
        </is>
      </c>
      <c r="D7" s="7" t="inlineStr">
        <is>
          <t>Weighted loss distance</t>
        </is>
      </c>
      <c r="E7" s="7" t="inlineStr">
        <is>
          <t>Weighted loss P95</t>
        </is>
      </c>
      <c r="F7" s="7" t="inlineStr">
        <is>
          <t>S sum</t>
        </is>
      </c>
      <c r="G7" s="7" t="inlineStr">
        <is>
          <t>R maximum</t>
        </is>
      </c>
      <c r="H7" s="7" t="inlineStr">
        <is>
          <t>Scaled S</t>
        </is>
      </c>
      <c r="I7" s="7" t="inlineStr">
        <is>
          <t>Scaled R</t>
        </is>
      </c>
      <c r="J7" s="7" t="inlineStr">
        <is>
          <t>Q v=.5</t>
        </is>
      </c>
      <c r="K7" s="7" t="inlineStr">
        <is>
          <t>Q v=.25</t>
        </is>
      </c>
      <c r="L7" s="7" t="inlineStr">
        <is>
          <t>Q v=.75</t>
        </is>
      </c>
      <c r="M7" s="7" t="inlineStr">
        <is>
          <t>Q rank</t>
        </is>
      </c>
    </row>
    <row r="8" ht="24" customHeight="1">
      <c r="A8" s="12">
        <f>DECISION_MATRIX!A8</f>
        <v/>
      </c>
      <c r="B8" s="36">
        <f>IF(MAX(DECISION_MATRIX!$B$8:$B$11)=MIN(DECISION_MATRIX!$B$8:$B$11),0,(DECISION_MATRIX!B8-MIN(DECISION_MATRIX!$B$8:$B$11))/(MAX(DECISION_MATRIX!$B$8:$B$11)-MIN(DECISION_MATRIX!$B$8:$B$11))*WEIGHTS!B19)</f>
        <v/>
      </c>
      <c r="C8" s="36">
        <f>IF(MAX(DECISION_MATRIX!$C$8:$C$11)=MIN(DECISION_MATRIX!$C$8:$C$11),0,(DECISION_MATRIX!C8-MIN(DECISION_MATRIX!$C$8:$C$11))/(MAX(DECISION_MATRIX!$C$8:$C$11)-MIN(DECISION_MATRIX!$C$8:$C$11))*WEIGHTS!C19)</f>
        <v/>
      </c>
      <c r="D8" s="36">
        <f>IF(MAX(DECISION_MATRIX!$D$8:$D$11)=MIN(DECISION_MATRIX!$D$8:$D$11),0,(DECISION_MATRIX!D8-MIN(DECISION_MATRIX!$D$8:$D$11))/(MAX(DECISION_MATRIX!$D$8:$D$11)-MIN(DECISION_MATRIX!$D$8:$D$11))*WEIGHTS!D19)</f>
        <v/>
      </c>
      <c r="E8" s="36">
        <f>IF(MAX(DECISION_MATRIX!$E$8:$E$11)=MIN(DECISION_MATRIX!$E$8:$E$11),0,(DECISION_MATRIX!E8-MIN(DECISION_MATRIX!$E$8:$E$11))/(MAX(DECISION_MATRIX!$E$8:$E$11)-MIN(DECISION_MATRIX!$E$8:$E$11))*WEIGHTS!E19)</f>
        <v/>
      </c>
      <c r="F8" s="36">
        <f>SUM(B8:E8)</f>
        <v/>
      </c>
      <c r="G8" s="36">
        <f>MAX(B8:E8)</f>
        <v/>
      </c>
      <c r="H8" s="36">
        <f>IF(MAX($F$8:$F$11)=MIN($F$8:$F$11),0,(F8-MIN($F$8:$F$11))/(MAX($F$8:$F$11)-MIN($F$8:$F$11)))</f>
        <v/>
      </c>
      <c r="I8" s="36">
        <f>IF(MAX($G$8:$G$11)=MIN($G$8:$G$11),0,(G8-MIN($G$8:$G$11))/(MAX($G$8:$G$11)-MIN($G$8:$G$11)))</f>
        <v/>
      </c>
      <c r="J8" s="36">
        <f>0.5*H8+0.5*I8</f>
        <v/>
      </c>
      <c r="K8" s="36">
        <f>0.25*H8+0.75*I8</f>
        <v/>
      </c>
      <c r="L8" s="36">
        <f>0.75*H8+0.25*I8</f>
        <v/>
      </c>
      <c r="M8" s="12">
        <f>COUNTIF($J$8:$J$11,"&lt;"&amp;J8)+1</f>
        <v/>
      </c>
    </row>
    <row r="9" ht="24" customHeight="1">
      <c r="A9" s="12">
        <f>DECISION_MATRIX!A9</f>
        <v/>
      </c>
      <c r="B9" s="36">
        <f>IF(MAX(DECISION_MATRIX!$B$8:$B$11)=MIN(DECISION_MATRIX!$B$8:$B$11),0,(DECISION_MATRIX!B9-MIN(DECISION_MATRIX!$B$8:$B$11))/(MAX(DECISION_MATRIX!$B$8:$B$11)-MIN(DECISION_MATRIX!$B$8:$B$11))*WEIGHTS!B19)</f>
        <v/>
      </c>
      <c r="C9" s="36">
        <f>IF(MAX(DECISION_MATRIX!$C$8:$C$11)=MIN(DECISION_MATRIX!$C$8:$C$11),0,(DECISION_MATRIX!C9-MIN(DECISION_MATRIX!$C$8:$C$11))/(MAX(DECISION_MATRIX!$C$8:$C$11)-MIN(DECISION_MATRIX!$C$8:$C$11))*WEIGHTS!C19)</f>
        <v/>
      </c>
      <c r="D9" s="36">
        <f>IF(MAX(DECISION_MATRIX!$D$8:$D$11)=MIN(DECISION_MATRIX!$D$8:$D$11),0,(DECISION_MATRIX!D9-MIN(DECISION_MATRIX!$D$8:$D$11))/(MAX(DECISION_MATRIX!$D$8:$D$11)-MIN(DECISION_MATRIX!$D$8:$D$11))*WEIGHTS!D19)</f>
        <v/>
      </c>
      <c r="E9" s="36">
        <f>IF(MAX(DECISION_MATRIX!$E$8:$E$11)=MIN(DECISION_MATRIX!$E$8:$E$11),0,(DECISION_MATRIX!E9-MIN(DECISION_MATRIX!$E$8:$E$11))/(MAX(DECISION_MATRIX!$E$8:$E$11)-MIN(DECISION_MATRIX!$E$8:$E$11))*WEIGHTS!E19)</f>
        <v/>
      </c>
      <c r="F9" s="36">
        <f>SUM(B9:E9)</f>
        <v/>
      </c>
      <c r="G9" s="36">
        <f>MAX(B9:E9)</f>
        <v/>
      </c>
      <c r="H9" s="36">
        <f>IF(MAX($F$8:$F$11)=MIN($F$8:$F$11),0,(F9-MIN($F$8:$F$11))/(MAX($F$8:$F$11)-MIN($F$8:$F$11)))</f>
        <v/>
      </c>
      <c r="I9" s="36">
        <f>IF(MAX($G$8:$G$11)=MIN($G$8:$G$11),0,(G9-MIN($G$8:$G$11))/(MAX($G$8:$G$11)-MIN($G$8:$G$11)))</f>
        <v/>
      </c>
      <c r="J9" s="36">
        <f>0.5*H9+0.5*I9</f>
        <v/>
      </c>
      <c r="K9" s="36">
        <f>0.25*H9+0.75*I9</f>
        <v/>
      </c>
      <c r="L9" s="36">
        <f>0.75*H9+0.25*I9</f>
        <v/>
      </c>
      <c r="M9" s="12">
        <f>COUNTIF($J$8:$J$11,"&lt;"&amp;J9)+1</f>
        <v/>
      </c>
    </row>
    <row r="10" ht="24" customHeight="1">
      <c r="A10" s="12">
        <f>DECISION_MATRIX!A10</f>
        <v/>
      </c>
      <c r="B10" s="36">
        <f>IF(MAX(DECISION_MATRIX!$B$8:$B$11)=MIN(DECISION_MATRIX!$B$8:$B$11),0,(DECISION_MATRIX!B10-MIN(DECISION_MATRIX!$B$8:$B$11))/(MAX(DECISION_MATRIX!$B$8:$B$11)-MIN(DECISION_MATRIX!$B$8:$B$11))*WEIGHTS!B19)</f>
        <v/>
      </c>
      <c r="C10" s="36">
        <f>IF(MAX(DECISION_MATRIX!$C$8:$C$11)=MIN(DECISION_MATRIX!$C$8:$C$11),0,(DECISION_MATRIX!C10-MIN(DECISION_MATRIX!$C$8:$C$11))/(MAX(DECISION_MATRIX!$C$8:$C$11)-MIN(DECISION_MATRIX!$C$8:$C$11))*WEIGHTS!C19)</f>
        <v/>
      </c>
      <c r="D10" s="36">
        <f>IF(MAX(DECISION_MATRIX!$D$8:$D$11)=MIN(DECISION_MATRIX!$D$8:$D$11),0,(DECISION_MATRIX!D10-MIN(DECISION_MATRIX!$D$8:$D$11))/(MAX(DECISION_MATRIX!$D$8:$D$11)-MIN(DECISION_MATRIX!$D$8:$D$11))*WEIGHTS!D19)</f>
        <v/>
      </c>
      <c r="E10" s="36">
        <f>IF(MAX(DECISION_MATRIX!$E$8:$E$11)=MIN(DECISION_MATRIX!$E$8:$E$11),0,(DECISION_MATRIX!E10-MIN(DECISION_MATRIX!$E$8:$E$11))/(MAX(DECISION_MATRIX!$E$8:$E$11)-MIN(DECISION_MATRIX!$E$8:$E$11))*WEIGHTS!E19)</f>
        <v/>
      </c>
      <c r="F10" s="36">
        <f>SUM(B10:E10)</f>
        <v/>
      </c>
      <c r="G10" s="36">
        <f>MAX(B10:E10)</f>
        <v/>
      </c>
      <c r="H10" s="36">
        <f>IF(MAX($F$8:$F$11)=MIN($F$8:$F$11),0,(F10-MIN($F$8:$F$11))/(MAX($F$8:$F$11)-MIN($F$8:$F$11)))</f>
        <v/>
      </c>
      <c r="I10" s="36">
        <f>IF(MAX($G$8:$G$11)=MIN($G$8:$G$11),0,(G10-MIN($G$8:$G$11))/(MAX($G$8:$G$11)-MIN($G$8:$G$11)))</f>
        <v/>
      </c>
      <c r="J10" s="36">
        <f>0.5*H10+0.5*I10</f>
        <v/>
      </c>
      <c r="K10" s="36">
        <f>0.25*H10+0.75*I10</f>
        <v/>
      </c>
      <c r="L10" s="36">
        <f>0.75*H10+0.25*I10</f>
        <v/>
      </c>
      <c r="M10" s="12">
        <f>COUNTIF($J$8:$J$11,"&lt;"&amp;J10)+1</f>
        <v/>
      </c>
    </row>
    <row r="11" ht="24" customHeight="1">
      <c r="A11" s="12">
        <f>DECISION_MATRIX!A11</f>
        <v/>
      </c>
      <c r="B11" s="36">
        <f>IF(MAX(DECISION_MATRIX!$B$8:$B$11)=MIN(DECISION_MATRIX!$B$8:$B$11),0,(DECISION_MATRIX!B11-MIN(DECISION_MATRIX!$B$8:$B$11))/(MAX(DECISION_MATRIX!$B$8:$B$11)-MIN(DECISION_MATRIX!$B$8:$B$11))*WEIGHTS!B19)</f>
        <v/>
      </c>
      <c r="C11" s="36">
        <f>IF(MAX(DECISION_MATRIX!$C$8:$C$11)=MIN(DECISION_MATRIX!$C$8:$C$11),0,(DECISION_MATRIX!C11-MIN(DECISION_MATRIX!$C$8:$C$11))/(MAX(DECISION_MATRIX!$C$8:$C$11)-MIN(DECISION_MATRIX!$C$8:$C$11))*WEIGHTS!C19)</f>
        <v/>
      </c>
      <c r="D11" s="36">
        <f>IF(MAX(DECISION_MATRIX!$D$8:$D$11)=MIN(DECISION_MATRIX!$D$8:$D$11),0,(DECISION_MATRIX!D11-MIN(DECISION_MATRIX!$D$8:$D$11))/(MAX(DECISION_MATRIX!$D$8:$D$11)-MIN(DECISION_MATRIX!$D$8:$D$11))*WEIGHTS!D19)</f>
        <v/>
      </c>
      <c r="E11" s="36">
        <f>IF(MAX(DECISION_MATRIX!$E$8:$E$11)=MIN(DECISION_MATRIX!$E$8:$E$11),0,(DECISION_MATRIX!E11-MIN(DECISION_MATRIX!$E$8:$E$11))/(MAX(DECISION_MATRIX!$E$8:$E$11)-MIN(DECISION_MATRIX!$E$8:$E$11))*WEIGHTS!E19)</f>
        <v/>
      </c>
      <c r="F11" s="36">
        <f>SUM(B11:E11)</f>
        <v/>
      </c>
      <c r="G11" s="36">
        <f>MAX(B11:E11)</f>
        <v/>
      </c>
      <c r="H11" s="36">
        <f>IF(MAX($F$8:$F$11)=MIN($F$8:$F$11),0,(F11-MIN($F$8:$F$11))/(MAX($F$8:$F$11)-MIN($F$8:$F$11)))</f>
        <v/>
      </c>
      <c r="I11" s="36">
        <f>IF(MAX($G$8:$G$11)=MIN($G$8:$G$11),0,(G11-MIN($G$8:$G$11))/(MAX($G$8:$G$11)-MIN($G$8:$G$11)))</f>
        <v/>
      </c>
      <c r="J11" s="36">
        <f>0.5*H11+0.5*I11</f>
        <v/>
      </c>
      <c r="K11" s="36">
        <f>0.25*H11+0.75*I11</f>
        <v/>
      </c>
      <c r="L11" s="36">
        <f>0.75*H11+0.25*I11</f>
        <v/>
      </c>
      <c r="M11" s="12">
        <f>COUNTIF($J$8:$J$11,"&lt;"&amp;J11)+1</f>
        <v/>
      </c>
    </row>
    <row r="12" ht="24" customHeight="1">
      <c r="A12" s="31" t="n"/>
      <c r="B12" s="31" t="n"/>
      <c r="C12" s="31" t="n"/>
      <c r="D12" s="31" t="n"/>
      <c r="E12" s="31" t="n"/>
      <c r="F12" s="31" t="n"/>
      <c r="G12" s="31" t="n"/>
      <c r="H12" s="31" t="n"/>
      <c r="I12" s="31" t="n"/>
      <c r="J12" s="31" t="n"/>
      <c r="K12" s="31" t="n"/>
      <c r="L12" s="31" t="n"/>
      <c r="M12" s="31" t="n"/>
    </row>
    <row r="13" ht="24" customHeight="1">
      <c r="A13" s="31" t="n"/>
      <c r="B13" s="31" t="n"/>
      <c r="C13" s="31" t="n"/>
      <c r="D13" s="31" t="n"/>
      <c r="E13" s="31" t="n"/>
      <c r="F13" s="31" t="n"/>
      <c r="G13" s="31" t="n"/>
      <c r="H13" s="31" t="n"/>
      <c r="I13" s="31" t="n"/>
      <c r="J13" s="31" t="n"/>
      <c r="K13" s="31" t="n"/>
      <c r="L13" s="31" t="n"/>
      <c r="M13" s="31" t="n"/>
    </row>
    <row r="14" ht="24" customHeight="1">
      <c r="A14" s="31" t="inlineStr">
        <is>
          <t>Primary SAW choice</t>
        </is>
      </c>
      <c r="B14" s="12">
        <f>MCDM_CALCULATION!B22</f>
        <v/>
      </c>
      <c r="C14" s="31" t="n"/>
      <c r="D14" s="31" t="n"/>
      <c r="E14" s="31" t="n"/>
      <c r="F14" s="31" t="n"/>
      <c r="G14" s="31" t="n"/>
      <c r="H14" s="31" t="n"/>
      <c r="I14" s="31" t="n"/>
      <c r="J14" s="31" t="n"/>
      <c r="K14" s="31" t="n"/>
      <c r="L14" s="31" t="n"/>
      <c r="M14" s="31" t="n"/>
    </row>
    <row r="15" ht="24" customHeight="1">
      <c r="A15" s="31" t="inlineStr">
        <is>
          <t>VIKOR first</t>
        </is>
      </c>
      <c r="B15" s="12">
        <f>INDEX(A8:A11,MATCH(MIN(J8:J11),J8:J11,0))</f>
        <v/>
      </c>
      <c r="C15" s="31" t="n"/>
      <c r="D15" s="31" t="n"/>
      <c r="E15" s="31" t="n"/>
      <c r="F15" s="31" t="n"/>
      <c r="G15" s="31" t="n"/>
      <c r="H15" s="31" t="n"/>
      <c r="I15" s="31" t="n"/>
      <c r="J15" s="31" t="n"/>
      <c r="K15" s="31" t="n"/>
      <c r="L15" s="31" t="n"/>
      <c r="M15" s="31" t="n"/>
    </row>
    <row r="16" ht="24" customHeight="1">
      <c r="A16" s="31" t="inlineStr">
        <is>
          <t>First row index</t>
        </is>
      </c>
      <c r="B16" s="12">
        <f>MATCH(B15,A8:A11,0)</f>
        <v/>
      </c>
      <c r="C16" s="31" t="n"/>
      <c r="D16" s="31" t="n"/>
      <c r="E16" s="31" t="n"/>
      <c r="F16" s="31" t="n"/>
      <c r="G16" s="31" t="n"/>
      <c r="H16" s="31" t="n"/>
      <c r="I16" s="31" t="n"/>
      <c r="J16" s="31" t="n"/>
      <c r="K16" s="31" t="n"/>
      <c r="L16" s="31" t="n"/>
      <c r="M16" s="31" t="n"/>
    </row>
    <row r="17" ht="24" customHeight="1">
      <c r="A17" s="31" t="inlineStr">
        <is>
          <t>DQ threshold</t>
        </is>
      </c>
      <c r="B17" s="12">
        <f>MIN(0.25,1/(COUNT(J8:J11)-1))</f>
        <v/>
      </c>
      <c r="C17" s="31" t="n"/>
      <c r="D17" s="31" t="n"/>
      <c r="E17" s="31" t="n"/>
      <c r="F17" s="31" t="n"/>
      <c r="G17" s="31" t="n"/>
      <c r="H17" s="31" t="n"/>
      <c r="I17" s="31" t="n"/>
      <c r="J17" s="31" t="n"/>
      <c r="K17" s="31" t="n"/>
      <c r="L17" s="31" t="n"/>
      <c r="M17" s="31" t="n"/>
    </row>
    <row r="18" ht="24" customHeight="1">
      <c r="A18" s="31" t="inlineStr">
        <is>
          <t>Sufficient advantage?</t>
        </is>
      </c>
      <c r="B18" s="12">
        <f>SMALL(J8:J11,2)-MIN(J8:J11)&gt;=B17-0.000000000001</f>
        <v/>
      </c>
      <c r="C18" s="31" t="n"/>
      <c r="D18" s="31" t="n"/>
      <c r="E18" s="31" t="n"/>
      <c r="F18" s="31" t="n"/>
      <c r="G18" s="31" t="n"/>
      <c r="H18" s="31" t="n"/>
      <c r="I18" s="31" t="n"/>
      <c r="J18" s="31" t="n"/>
      <c r="K18" s="31" t="n"/>
      <c r="L18" s="31" t="n"/>
      <c r="M18" s="31" t="n"/>
    </row>
    <row r="19" ht="24" customHeight="1">
      <c r="A19" s="31" t="inlineStr">
        <is>
          <t>Sufficient stability?</t>
        </is>
      </c>
      <c r="B19" s="12">
        <f>OR(INDEX(F8:F11,B16)&lt;=MIN(F8:F11)+0.000000000001,INDEX(G8:G11,B16)&lt;=MIN(G8:G11)+0.000000000001,AND(INDEX(K8:K11,B16)&lt;=MIN(K8:K11)+0.000000000001,INDEX(L8:L11,B16)&lt;=MIN(L8:L11)+0.000000000001))</f>
        <v/>
      </c>
      <c r="C19" s="31" t="n"/>
      <c r="D19" s="31" t="n"/>
      <c r="E19" s="31" t="n"/>
      <c r="F19" s="31" t="n"/>
      <c r="G19" s="31" t="n"/>
      <c r="H19" s="31" t="n"/>
      <c r="I19" s="31" t="n"/>
      <c r="J19" s="31" t="n"/>
      <c r="K19" s="31" t="n"/>
      <c r="L19" s="31" t="n"/>
      <c r="M19" s="31" t="n"/>
    </row>
    <row r="20" ht="24" customHeight="1">
      <c r="A20" s="31" t="n"/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</row>
    <row r="21" ht="24" customHeight="1">
      <c r="A21" s="31" t="n"/>
      <c r="B21" s="31" t="n"/>
      <c r="C21" s="31" t="n"/>
      <c r="D21" s="31" t="n"/>
      <c r="E21" s="31" t="n"/>
      <c r="F21" s="31" t="n"/>
      <c r="G21" s="31" t="n"/>
      <c r="H21" s="31" t="n"/>
      <c r="I21" s="31" t="n"/>
      <c r="J21" s="31" t="n"/>
      <c r="K21" s="31" t="n"/>
      <c r="L21" s="31" t="n"/>
      <c r="M21" s="31" t="n"/>
    </row>
    <row r="22" ht="38" customHeight="1">
      <c r="A22" s="7" t="inlineStr">
        <is>
          <t>Policy</t>
        </is>
      </c>
      <c r="B22" s="7" t="inlineStr">
        <is>
          <t>Q score</t>
        </is>
      </c>
      <c r="C22" s="7" t="inlineStr">
        <is>
          <t>Compromise member?</t>
        </is>
      </c>
      <c r="D22" s="7" t="inlineStr">
        <is>
          <t>Interpretation</t>
        </is>
      </c>
      <c r="E22" s="31" t="n"/>
      <c r="F22" s="31" t="n"/>
      <c r="G22" s="31" t="n"/>
      <c r="H22" s="31" t="n"/>
      <c r="I22" s="31" t="n"/>
      <c r="J22" s="31" t="n"/>
      <c r="K22" s="31" t="n"/>
      <c r="L22" s="31" t="n"/>
      <c r="M22" s="31" t="n"/>
    </row>
    <row r="23" ht="38" customHeight="1">
      <c r="A23" s="12">
        <f>A8</f>
        <v/>
      </c>
      <c r="B23" s="12">
        <f>J8</f>
        <v/>
      </c>
      <c r="C23" s="12">
        <f>IF(AND($B$18,$B$19),A23=$B$15,IF(NOT($B$18),B23-MIN($J$8:$J$11)&lt;$B$17,B23&lt;=SMALL($J$8:$J$11,2)))</f>
        <v/>
      </c>
      <c r="D23" s="8" t="inlineStr">
        <is>
          <t>If acceptance fails, show the compromise set rather than a unique winner.</t>
        </is>
      </c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</row>
    <row r="24" ht="38" customHeight="1">
      <c r="A24" s="12">
        <f>A9</f>
        <v/>
      </c>
      <c r="B24" s="12">
        <f>J9</f>
        <v/>
      </c>
      <c r="C24" s="12">
        <f>IF(AND($B$18,$B$19),A24=$B$15,IF(NOT($B$18),B24-MIN($J$8:$J$11)&lt;$B$17,B24&lt;=SMALL($J$8:$J$11,2)))</f>
        <v/>
      </c>
      <c r="D24" s="8" t="inlineStr">
        <is>
          <t>If acceptance fails, show the compromise set rather than a unique winner.</t>
        </is>
      </c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</row>
    <row r="25" ht="38" customHeight="1">
      <c r="A25" s="12">
        <f>A10</f>
        <v/>
      </c>
      <c r="B25" s="12">
        <f>J10</f>
        <v/>
      </c>
      <c r="C25" s="12">
        <f>IF(AND($B$18,$B$19),A25=$B$15,IF(NOT($B$18),B25-MIN($J$8:$J$11)&lt;$B$17,B25&lt;=SMALL($J$8:$J$11,2)))</f>
        <v/>
      </c>
      <c r="D25" s="8" t="inlineStr">
        <is>
          <t>If acceptance fails, show the compromise set rather than a unique winner.</t>
        </is>
      </c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</row>
    <row r="26" ht="38" customHeight="1">
      <c r="A26" s="12">
        <f>A11</f>
        <v/>
      </c>
      <c r="B26" s="12">
        <f>J11</f>
        <v/>
      </c>
      <c r="C26" s="12">
        <f>IF(AND($B$18,$B$19),A26=$B$15,IF(NOT($B$18),B26-MIN($J$8:$J$11)&lt;$B$17,B26&lt;=SMALL($J$8:$J$11,2)))</f>
        <v/>
      </c>
      <c r="D26" s="8" t="inlineStr">
        <is>
          <t>If acceptance fails, show the compromise set rather than a unique winner.</t>
        </is>
      </c>
      <c r="E26" s="31" t="n"/>
      <c r="F26" s="31" t="n"/>
      <c r="G26" s="31" t="n"/>
      <c r="H26" s="31" t="n"/>
      <c r="I26" s="31" t="n"/>
      <c r="J26" s="31" t="n"/>
      <c r="K26" s="31" t="n"/>
      <c r="L26" s="31" t="n"/>
      <c r="M26" s="31" t="n"/>
    </row>
    <row r="27" ht="24" customHeight="1">
      <c r="A27" s="31" t="n"/>
      <c r="B27" s="31" t="n"/>
      <c r="C27" s="31" t="n"/>
      <c r="D27" s="31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</row>
    <row r="28" ht="24" customHeight="1">
      <c r="A28" s="31" t="inlineStr">
        <is>
          <t>SAW in compromise set?</t>
        </is>
      </c>
      <c r="B28" s="12">
        <f>INDEX(C23:C26,MATCH(B14,A23:A26,0))</f>
        <v/>
      </c>
      <c r="C28" s="31" t="n"/>
      <c r="D28" s="31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</row>
    <row r="29" ht="24" customHeight="1">
      <c r="A29" s="31" t="n"/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</row>
    <row r="30" ht="24" customHeight="1">
      <c r="A30" s="31" t="inlineStr">
        <is>
          <t>Constant-column rule</t>
        </is>
      </c>
      <c r="B30" s="31" t="inlineStr">
        <is>
          <t>Zero loss for a constant criterion; zero range in S/R contributes zero. Explicit numerical convention.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</row>
    <row r="31" ht="24" customHeight="1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</row>
    <row r="32" ht="24" customHeight="1">
      <c r="A32" s="31" t="inlineStr">
        <is>
          <t>TOPSIS / PROMETHEE</t>
        </is>
      </c>
      <c r="B32" s="31" t="inlineStr">
        <is>
          <t>Literature comparison only; no unsupported numeric rankings.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</row>
    <row r="33" ht="24" customHeight="1">
      <c r="A33" s="31" t="n"/>
      <c r="B33" s="31" t="n"/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</row>
    <row r="34" ht="24" customHeight="1">
      <c r="A34" s="31" t="n"/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</row>
    <row r="35" ht="24" customHeight="1">
      <c r="A35" s="31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</row>
    <row r="36" ht="24" customHeight="1">
      <c r="A36" s="31" t="n"/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</row>
    <row r="37" ht="24" customHeight="1">
      <c r="A37" s="31" t="n"/>
      <c r="B37" s="31" t="n"/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</row>
    <row r="38" ht="24" customHeight="1">
      <c r="A38" s="31" t="n"/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1" t="n"/>
    </row>
    <row r="39" ht="24" customHeight="1">
      <c r="A39" s="31" t="n"/>
      <c r="B39" s="31" t="n"/>
      <c r="C39" s="31" t="n"/>
      <c r="D39" s="31" t="n"/>
      <c r="E39" s="31" t="n"/>
      <c r="F39" s="31" t="n"/>
      <c r="G39" s="31" t="n"/>
      <c r="H39" s="31" t="n"/>
      <c r="I39" s="31" t="n"/>
      <c r="J39" s="31" t="n"/>
      <c r="K39" s="31" t="n"/>
      <c r="L39" s="31" t="n"/>
      <c r="M39" s="31" t="n"/>
    </row>
    <row r="40" ht="24" customHeight="1">
      <c r="A40" s="31" t="n"/>
      <c r="B40" s="31" t="n"/>
      <c r="C40" s="31" t="n"/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  <c r="M40" s="31" t="n"/>
    </row>
    <row r="41" ht="24" customHeight="1">
      <c r="A41" s="31" t="n"/>
      <c r="B41" s="31" t="n"/>
      <c r="C41" s="31" t="n"/>
      <c r="D41" s="31" t="n"/>
      <c r="E41" s="31" t="n"/>
      <c r="F41" s="31" t="n"/>
      <c r="G41" s="31" t="n"/>
      <c r="H41" s="31" t="n"/>
      <c r="I41" s="31" t="n"/>
      <c r="J41" s="31" t="n"/>
      <c r="K41" s="31" t="n"/>
      <c r="L41" s="31" t="n"/>
      <c r="M41" s="31" t="n"/>
    </row>
    <row r="42" ht="24" customHeight="1">
      <c r="A42" s="31" t="n"/>
      <c r="B42" s="31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1" t="n"/>
    </row>
    <row r="43" ht="24" customHeight="1">
      <c r="A43" s="31" t="n"/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83"/>
  <sheetViews>
    <sheetView showGridLines="0" workbookViewId="0">
      <pane xSplit="1" ySplit="7" topLeftCell="B8" activePane="bottomRight" state="frozen"/>
      <selection activeCell="A1" sqref="A1"/>
    </sheetView>
  </sheetViews>
  <sheetFormatPr baseColWidth="8" defaultRowHeight="15"/>
  <cols>
    <col width="28" customWidth="1" min="1" max="1"/>
    <col width="28" customWidth="1" min="2" max="2"/>
    <col width="25" customWidth="1" min="3" max="3"/>
    <col width="26" customWidth="1" min="4" max="4"/>
    <col width="27" customWidth="1" min="5" max="5"/>
    <col width="28" customWidth="1" min="6" max="6"/>
    <col width="28" customWidth="1" min="7" max="7"/>
    <col width="25" customWidth="1" min="8" max="8"/>
    <col width="25" customWidth="1" min="9" max="9"/>
    <col width="30" customWidth="1" min="10" max="10"/>
    <col width="25" customWidth="1" min="11" max="11"/>
  </cols>
  <sheetData>
    <row r="1" ht="24" customHeight="1">
      <c r="A1" s="31" t="n"/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</row>
    <row r="2" ht="24" customHeight="1">
      <c r="A2" s="3" t="inlineStr">
        <is>
          <t>Preferences, criterion sets and TECO allowance</t>
        </is>
      </c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</row>
    <row r="3" ht="24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 ht="24" customHeight="1">
      <c r="A4" s="4" t="inlineStr">
        <is>
          <t>Sensitivity is calculated on development data. No profile is chosen to improve ML test performance.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24" customHeight="1">
      <c r="A5" s="31" t="inlineStr">
        <is>
          <t>Development context</t>
        </is>
      </c>
      <c r="B5" s="12">
        <f>WEIGHTS!B5</f>
        <v/>
      </c>
      <c r="C5" s="31" t="n"/>
      <c r="D5" s="31" t="inlineStr">
        <is>
          <t>Preference profile</t>
        </is>
      </c>
      <c r="E5" s="12">
        <f>WEIGHTS!B6</f>
        <v/>
      </c>
      <c r="F5" s="31" t="n"/>
      <c r="G5" s="31" t="n"/>
      <c r="H5" s="31" t="n"/>
      <c r="I5" s="31" t="n"/>
      <c r="J5" s="31" t="n"/>
      <c r="K5" s="31" t="n"/>
    </row>
    <row r="6" ht="24" customHeight="1">
      <c r="A6" s="31" t="n"/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</row>
    <row r="7" ht="38" customHeight="1">
      <c r="A7" s="7" t="inlineStr">
        <is>
          <t>Profile</t>
        </is>
      </c>
      <c r="B7" s="7" t="inlineStr">
        <is>
          <t>Time weight</t>
        </is>
      </c>
      <c r="C7" s="7" t="inlineStr">
        <is>
          <t>CO2 weight</t>
        </is>
      </c>
      <c r="D7" s="7" t="inlineStr">
        <is>
          <t>Distance weight</t>
        </is>
      </c>
      <c r="E7" s="7" t="inlineStr">
        <is>
          <t>P95 weight</t>
        </is>
      </c>
      <c r="F7" s="7" t="inlineStr">
        <is>
          <t>SP cost</t>
        </is>
      </c>
      <c r="G7" s="7" t="inlineStr">
        <is>
          <t>DTT cost</t>
        </is>
      </c>
      <c r="H7" s="7" t="inlineStr">
        <is>
          <t>ECO cost</t>
        </is>
      </c>
      <c r="I7" s="7" t="inlineStr">
        <is>
          <t>TECO10 cost</t>
        </is>
      </c>
      <c r="J7" s="7" t="inlineStr">
        <is>
          <t>Selected policy</t>
        </is>
      </c>
      <c r="K7" s="31" t="n"/>
    </row>
    <row r="8" ht="24" customHeight="1">
      <c r="A8" s="12">
        <f>WEIGHTS!A10</f>
        <v/>
      </c>
      <c r="B8" s="35">
        <f>WEIGHTS!B10</f>
        <v/>
      </c>
      <c r="C8" s="35">
        <f>WEIGHTS!C10</f>
        <v/>
      </c>
      <c r="D8" s="35">
        <f>WEIGHTS!D10</f>
        <v/>
      </c>
      <c r="E8" s="35">
        <f>WEIGHTS!E10</f>
        <v/>
      </c>
      <c r="F8" s="35">
        <f>SUMPRODUCT($B8:$E8,MCDM_CALCULATION!B8:E8)</f>
        <v/>
      </c>
      <c r="G8" s="35">
        <f>SUMPRODUCT($B8:$E8,MCDM_CALCULATION!B9:E9)</f>
        <v/>
      </c>
      <c r="H8" s="35">
        <f>SUMPRODUCT($B8:$E8,MCDM_CALCULATION!B10:E10)</f>
        <v/>
      </c>
      <c r="I8" s="35">
        <f>SUMPRODUCT($B8:$E8,MCDM_CALCULATION!B11:E11)</f>
        <v/>
      </c>
      <c r="J8" s="12">
        <f>INDEX($F$7:$I$7,1,MATCH(MIN(F8:I8),F8:I8,0))</f>
        <v/>
      </c>
      <c r="K8" s="31" t="n"/>
    </row>
    <row r="9" ht="24" customHeight="1">
      <c r="A9" s="12">
        <f>WEIGHTS!A11</f>
        <v/>
      </c>
      <c r="B9" s="35">
        <f>WEIGHTS!B11</f>
        <v/>
      </c>
      <c r="C9" s="35">
        <f>WEIGHTS!C11</f>
        <v/>
      </c>
      <c r="D9" s="35">
        <f>WEIGHTS!D11</f>
        <v/>
      </c>
      <c r="E9" s="35">
        <f>WEIGHTS!E11</f>
        <v/>
      </c>
      <c r="F9" s="35">
        <f>SUMPRODUCT($B9:$E9,MCDM_CALCULATION!B8:E8)</f>
        <v/>
      </c>
      <c r="G9" s="35">
        <f>SUMPRODUCT($B9:$E9,MCDM_CALCULATION!B9:E9)</f>
        <v/>
      </c>
      <c r="H9" s="35">
        <f>SUMPRODUCT($B9:$E9,MCDM_CALCULATION!B10:E10)</f>
        <v/>
      </c>
      <c r="I9" s="35">
        <f>SUMPRODUCT($B9:$E9,MCDM_CALCULATION!B11:E11)</f>
        <v/>
      </c>
      <c r="J9" s="12">
        <f>INDEX($F$7:$I$7,1,MATCH(MIN(F9:I9),F9:I9,0))</f>
        <v/>
      </c>
      <c r="K9" s="31" t="n"/>
    </row>
    <row r="10" ht="24" customHeight="1">
      <c r="A10" s="12">
        <f>WEIGHTS!A12</f>
        <v/>
      </c>
      <c r="B10" s="35">
        <f>WEIGHTS!B12</f>
        <v/>
      </c>
      <c r="C10" s="35">
        <f>WEIGHTS!C12</f>
        <v/>
      </c>
      <c r="D10" s="35">
        <f>WEIGHTS!D12</f>
        <v/>
      </c>
      <c r="E10" s="35">
        <f>WEIGHTS!E12</f>
        <v/>
      </c>
      <c r="F10" s="35">
        <f>SUMPRODUCT($B10:$E10,MCDM_CALCULATION!B8:E8)</f>
        <v/>
      </c>
      <c r="G10" s="35">
        <f>SUMPRODUCT($B10:$E10,MCDM_CALCULATION!B9:E9)</f>
        <v/>
      </c>
      <c r="H10" s="35">
        <f>SUMPRODUCT($B10:$E10,MCDM_CALCULATION!B10:E10)</f>
        <v/>
      </c>
      <c r="I10" s="35">
        <f>SUMPRODUCT($B10:$E10,MCDM_CALCULATION!B11:E11)</f>
        <v/>
      </c>
      <c r="J10" s="12">
        <f>INDEX($F$7:$I$7,1,MATCH(MIN(F10:I10),F10:I10,0))</f>
        <v/>
      </c>
      <c r="K10" s="31" t="n"/>
    </row>
    <row r="11" ht="24" customHeight="1">
      <c r="A11" s="12">
        <f>WEIGHTS!A13</f>
        <v/>
      </c>
      <c r="B11" s="35">
        <f>WEIGHTS!B13</f>
        <v/>
      </c>
      <c r="C11" s="35">
        <f>WEIGHTS!C13</f>
        <v/>
      </c>
      <c r="D11" s="35">
        <f>WEIGHTS!D13</f>
        <v/>
      </c>
      <c r="E11" s="35">
        <f>WEIGHTS!E13</f>
        <v/>
      </c>
      <c r="F11" s="35">
        <f>SUMPRODUCT($B11:$E11,MCDM_CALCULATION!B8:E8)</f>
        <v/>
      </c>
      <c r="G11" s="35">
        <f>SUMPRODUCT($B11:$E11,MCDM_CALCULATION!B9:E9)</f>
        <v/>
      </c>
      <c r="H11" s="35">
        <f>SUMPRODUCT($B11:$E11,MCDM_CALCULATION!B10:E10)</f>
        <v/>
      </c>
      <c r="I11" s="35">
        <f>SUMPRODUCT($B11:$E11,MCDM_CALCULATION!B11:E11)</f>
        <v/>
      </c>
      <c r="J11" s="12">
        <f>INDEX($F$7:$I$7,1,MATCH(MIN(F11:I11),F11:I11,0))</f>
        <v/>
      </c>
      <c r="K11" s="31" t="n"/>
    </row>
    <row r="12" ht="24" customHeight="1">
      <c r="A12" s="12">
        <f>WEIGHTS!A14</f>
        <v/>
      </c>
      <c r="B12" s="35">
        <f>WEIGHTS!B14</f>
        <v/>
      </c>
      <c r="C12" s="35">
        <f>WEIGHTS!C14</f>
        <v/>
      </c>
      <c r="D12" s="35">
        <f>WEIGHTS!D14</f>
        <v/>
      </c>
      <c r="E12" s="35">
        <f>WEIGHTS!E14</f>
        <v/>
      </c>
      <c r="F12" s="35">
        <f>SUMPRODUCT($B12:$E12,MCDM_CALCULATION!B8:E8)</f>
        <v/>
      </c>
      <c r="G12" s="35">
        <f>SUMPRODUCT($B12:$E12,MCDM_CALCULATION!B9:E9)</f>
        <v/>
      </c>
      <c r="H12" s="35">
        <f>SUMPRODUCT($B12:$E12,MCDM_CALCULATION!B10:E10)</f>
        <v/>
      </c>
      <c r="I12" s="35">
        <f>SUMPRODUCT($B12:$E12,MCDM_CALCULATION!B11:E11)</f>
        <v/>
      </c>
      <c r="J12" s="12">
        <f>INDEX($F$7:$I$7,1,MATCH(MIN(F12:I12),F12:I12,0))</f>
        <v/>
      </c>
      <c r="K12" s="31" t="n"/>
    </row>
    <row r="13" ht="24" customHeight="1">
      <c r="A13" s="12">
        <f>WEIGHTS!A15</f>
        <v/>
      </c>
      <c r="B13" s="35">
        <f>WEIGHTS!B15</f>
        <v/>
      </c>
      <c r="C13" s="35">
        <f>WEIGHTS!C15</f>
        <v/>
      </c>
      <c r="D13" s="35">
        <f>WEIGHTS!D15</f>
        <v/>
      </c>
      <c r="E13" s="35">
        <f>WEIGHTS!E15</f>
        <v/>
      </c>
      <c r="F13" s="35">
        <f>SUMPRODUCT($B13:$E13,MCDM_CALCULATION!B8:E8)</f>
        <v/>
      </c>
      <c r="G13" s="35">
        <f>SUMPRODUCT($B13:$E13,MCDM_CALCULATION!B9:E9)</f>
        <v/>
      </c>
      <c r="H13" s="35">
        <f>SUMPRODUCT($B13:$E13,MCDM_CALCULATION!B10:E10)</f>
        <v/>
      </c>
      <c r="I13" s="35">
        <f>SUMPRODUCT($B13:$E13,MCDM_CALCULATION!B11:E11)</f>
        <v/>
      </c>
      <c r="J13" s="12">
        <f>INDEX($F$7:$I$7,1,MATCH(MIN(F13:I13),F13:I13,0))</f>
        <v/>
      </c>
      <c r="K13" s="31" t="n"/>
    </row>
    <row r="14" ht="24" customHeight="1">
      <c r="A14" s="31" t="n"/>
      <c r="B14" s="31" t="n"/>
      <c r="C14" s="31" t="n"/>
      <c r="D14" s="31" t="n"/>
      <c r="E14" s="31" t="n"/>
      <c r="F14" s="31" t="n"/>
      <c r="G14" s="31" t="n"/>
      <c r="H14" s="31" t="n"/>
      <c r="I14" s="31" t="n"/>
      <c r="J14" s="31" t="n"/>
      <c r="K14" s="31" t="n"/>
    </row>
    <row r="15" ht="24" customHeight="1">
      <c r="A15" s="31" t="n"/>
      <c r="B15" s="31" t="n"/>
      <c r="C15" s="31" t="n"/>
      <c r="D15" s="31" t="n"/>
      <c r="E15" s="31" t="n"/>
      <c r="F15" s="31" t="n"/>
      <c r="G15" s="31" t="n"/>
      <c r="H15" s="31" t="n"/>
      <c r="I15" s="31" t="n"/>
      <c r="J15" s="31" t="n"/>
      <c r="K15" s="31" t="n"/>
    </row>
    <row r="16" ht="24" customHeight="1">
      <c r="A16" s="31" t="n"/>
      <c r="B16" s="31" t="n"/>
      <c r="C16" s="31" t="n"/>
      <c r="D16" s="31" t="n"/>
      <c r="E16" s="31" t="n"/>
      <c r="F16" s="31" t="n"/>
      <c r="G16" s="31" t="n"/>
      <c r="H16" s="31" t="n"/>
      <c r="I16" s="31" t="n"/>
      <c r="J16" s="31" t="n"/>
      <c r="K16" s="31" t="n"/>
    </row>
    <row r="17" ht="38" customHeight="1">
      <c r="A17" s="7" t="inlineStr">
        <is>
          <t>Time weight</t>
        </is>
      </c>
      <c r="B17" s="7" t="inlineStr">
        <is>
          <t>Environment weight</t>
        </is>
      </c>
      <c r="C17" s="7" t="inlineStr">
        <is>
          <t>SP</t>
        </is>
      </c>
      <c r="D17" s="7" t="inlineStr">
        <is>
          <t>DTT</t>
        </is>
      </c>
      <c r="E17" s="7" t="inlineStr">
        <is>
          <t>ECO</t>
        </is>
      </c>
      <c r="F17" s="7" t="inlineStr">
        <is>
          <t>TECO10</t>
        </is>
      </c>
      <c r="G17" s="7" t="inlineStr">
        <is>
          <t>Selected policy</t>
        </is>
      </c>
      <c r="H17" s="31" t="n"/>
      <c r="I17" s="31" t="n"/>
      <c r="J17" s="31" t="n"/>
      <c r="K17" s="31" t="n"/>
    </row>
    <row r="18" ht="24" customHeight="1">
      <c r="A18" s="42" t="n">
        <v>0</v>
      </c>
      <c r="B18" s="43">
        <f>1-A18</f>
        <v/>
      </c>
      <c r="C18" s="43">
        <f>A18*MCDM_CALCULATION!B8+B18*MCDM_CALCULATION!C8</f>
        <v/>
      </c>
      <c r="D18" s="43">
        <f>A18*MCDM_CALCULATION!B9+B18*MCDM_CALCULATION!C9</f>
        <v/>
      </c>
      <c r="E18" s="43">
        <f>A18*MCDM_CALCULATION!B10+B18*MCDM_CALCULATION!C10</f>
        <v/>
      </c>
      <c r="F18" s="43">
        <f>A18*MCDM_CALCULATION!B11+B18*MCDM_CALCULATION!C11</f>
        <v/>
      </c>
      <c r="G18" s="12">
        <f>INDEX($C$17:$F$17,1,MATCH(MIN(C18:F18),C18:F18,0))</f>
        <v/>
      </c>
      <c r="H18" s="31" t="n"/>
      <c r="I18" s="31" t="n"/>
      <c r="J18" s="31" t="n"/>
      <c r="K18" s="31" t="n"/>
    </row>
    <row r="19" ht="24" customHeight="1">
      <c r="A19" s="42" t="n">
        <v>0.05</v>
      </c>
      <c r="B19" s="43">
        <f>1-A19</f>
        <v/>
      </c>
      <c r="C19" s="43">
        <f>A19*MCDM_CALCULATION!B8+B19*MCDM_CALCULATION!C8</f>
        <v/>
      </c>
      <c r="D19" s="43">
        <f>A19*MCDM_CALCULATION!B9+B19*MCDM_CALCULATION!C9</f>
        <v/>
      </c>
      <c r="E19" s="43">
        <f>A19*MCDM_CALCULATION!B10+B19*MCDM_CALCULATION!C10</f>
        <v/>
      </c>
      <c r="F19" s="43">
        <f>A19*MCDM_CALCULATION!B11+B19*MCDM_CALCULATION!C11</f>
        <v/>
      </c>
      <c r="G19" s="12">
        <f>INDEX($C$17:$F$17,1,MATCH(MIN(C19:F19),C19:F19,0))</f>
        <v/>
      </c>
      <c r="H19" s="31" t="n"/>
      <c r="I19" s="31" t="n"/>
      <c r="J19" s="31" t="n"/>
      <c r="K19" s="31" t="n"/>
    </row>
    <row r="20" ht="24" customHeight="1">
      <c r="A20" s="42" t="n">
        <v>0.1</v>
      </c>
      <c r="B20" s="43">
        <f>1-A20</f>
        <v/>
      </c>
      <c r="C20" s="43">
        <f>A20*MCDM_CALCULATION!B8+B20*MCDM_CALCULATION!C8</f>
        <v/>
      </c>
      <c r="D20" s="43">
        <f>A20*MCDM_CALCULATION!B9+B20*MCDM_CALCULATION!C9</f>
        <v/>
      </c>
      <c r="E20" s="43">
        <f>A20*MCDM_CALCULATION!B10+B20*MCDM_CALCULATION!C10</f>
        <v/>
      </c>
      <c r="F20" s="43">
        <f>A20*MCDM_CALCULATION!B11+B20*MCDM_CALCULATION!C11</f>
        <v/>
      </c>
      <c r="G20" s="12">
        <f>INDEX($C$17:$F$17,1,MATCH(MIN(C20:F20),C20:F20,0))</f>
        <v/>
      </c>
      <c r="H20" s="31" t="n"/>
      <c r="I20" s="31" t="n"/>
      <c r="J20" s="31" t="n"/>
      <c r="K20" s="31" t="n"/>
    </row>
    <row r="21" ht="24" customHeight="1">
      <c r="A21" s="42" t="n">
        <v>0.15</v>
      </c>
      <c r="B21" s="43">
        <f>1-A21</f>
        <v/>
      </c>
      <c r="C21" s="43">
        <f>A21*MCDM_CALCULATION!B8+B21*MCDM_CALCULATION!C8</f>
        <v/>
      </c>
      <c r="D21" s="43">
        <f>A21*MCDM_CALCULATION!B9+B21*MCDM_CALCULATION!C9</f>
        <v/>
      </c>
      <c r="E21" s="43">
        <f>A21*MCDM_CALCULATION!B10+B21*MCDM_CALCULATION!C10</f>
        <v/>
      </c>
      <c r="F21" s="43">
        <f>A21*MCDM_CALCULATION!B11+B21*MCDM_CALCULATION!C11</f>
        <v/>
      </c>
      <c r="G21" s="12">
        <f>INDEX($C$17:$F$17,1,MATCH(MIN(C21:F21),C21:F21,0))</f>
        <v/>
      </c>
      <c r="H21" s="31" t="n"/>
      <c r="I21" s="31" t="n"/>
      <c r="J21" s="31" t="n"/>
      <c r="K21" s="31" t="n"/>
    </row>
    <row r="22" ht="24" customHeight="1">
      <c r="A22" s="42" t="n">
        <v>0.2</v>
      </c>
      <c r="B22" s="43">
        <f>1-A22</f>
        <v/>
      </c>
      <c r="C22" s="43">
        <f>A22*MCDM_CALCULATION!B8+B22*MCDM_CALCULATION!C8</f>
        <v/>
      </c>
      <c r="D22" s="43">
        <f>A22*MCDM_CALCULATION!B9+B22*MCDM_CALCULATION!C9</f>
        <v/>
      </c>
      <c r="E22" s="43">
        <f>A22*MCDM_CALCULATION!B10+B22*MCDM_CALCULATION!C10</f>
        <v/>
      </c>
      <c r="F22" s="43">
        <f>A22*MCDM_CALCULATION!B11+B22*MCDM_CALCULATION!C11</f>
        <v/>
      </c>
      <c r="G22" s="12">
        <f>INDEX($C$17:$F$17,1,MATCH(MIN(C22:F22),C22:F22,0))</f>
        <v/>
      </c>
      <c r="H22" s="31" t="n"/>
      <c r="I22" s="31" t="n"/>
      <c r="J22" s="31" t="n"/>
      <c r="K22" s="31" t="n"/>
    </row>
    <row r="23" ht="24" customHeight="1">
      <c r="A23" s="42" t="n">
        <v>0.25</v>
      </c>
      <c r="B23" s="43">
        <f>1-A23</f>
        <v/>
      </c>
      <c r="C23" s="43">
        <f>A23*MCDM_CALCULATION!B8+B23*MCDM_CALCULATION!C8</f>
        <v/>
      </c>
      <c r="D23" s="43">
        <f>A23*MCDM_CALCULATION!B9+B23*MCDM_CALCULATION!C9</f>
        <v/>
      </c>
      <c r="E23" s="43">
        <f>A23*MCDM_CALCULATION!B10+B23*MCDM_CALCULATION!C10</f>
        <v/>
      </c>
      <c r="F23" s="43">
        <f>A23*MCDM_CALCULATION!B11+B23*MCDM_CALCULATION!C11</f>
        <v/>
      </c>
      <c r="G23" s="12">
        <f>INDEX($C$17:$F$17,1,MATCH(MIN(C23:F23),C23:F23,0))</f>
        <v/>
      </c>
      <c r="H23" s="31" t="n"/>
      <c r="I23" s="31" t="n"/>
      <c r="J23" s="31" t="n"/>
      <c r="K23" s="31" t="n"/>
    </row>
    <row r="24" ht="24" customHeight="1">
      <c r="A24" s="42" t="n">
        <v>0.3</v>
      </c>
      <c r="B24" s="43">
        <f>1-A24</f>
        <v/>
      </c>
      <c r="C24" s="43">
        <f>A24*MCDM_CALCULATION!B8+B24*MCDM_CALCULATION!C8</f>
        <v/>
      </c>
      <c r="D24" s="43">
        <f>A24*MCDM_CALCULATION!B9+B24*MCDM_CALCULATION!C9</f>
        <v/>
      </c>
      <c r="E24" s="43">
        <f>A24*MCDM_CALCULATION!B10+B24*MCDM_CALCULATION!C10</f>
        <v/>
      </c>
      <c r="F24" s="43">
        <f>A24*MCDM_CALCULATION!B11+B24*MCDM_CALCULATION!C11</f>
        <v/>
      </c>
      <c r="G24" s="12">
        <f>INDEX($C$17:$F$17,1,MATCH(MIN(C24:F24),C24:F24,0))</f>
        <v/>
      </c>
      <c r="H24" s="31" t="n"/>
      <c r="I24" s="31" t="n"/>
      <c r="J24" s="31" t="n"/>
      <c r="K24" s="31" t="n"/>
    </row>
    <row r="25" ht="24" customHeight="1">
      <c r="A25" s="42" t="n">
        <v>0.35</v>
      </c>
      <c r="B25" s="43">
        <f>1-A25</f>
        <v/>
      </c>
      <c r="C25" s="43">
        <f>A25*MCDM_CALCULATION!B8+B25*MCDM_CALCULATION!C8</f>
        <v/>
      </c>
      <c r="D25" s="43">
        <f>A25*MCDM_CALCULATION!B9+B25*MCDM_CALCULATION!C9</f>
        <v/>
      </c>
      <c r="E25" s="43">
        <f>A25*MCDM_CALCULATION!B10+B25*MCDM_CALCULATION!C10</f>
        <v/>
      </c>
      <c r="F25" s="43">
        <f>A25*MCDM_CALCULATION!B11+B25*MCDM_CALCULATION!C11</f>
        <v/>
      </c>
      <c r="G25" s="12">
        <f>INDEX($C$17:$F$17,1,MATCH(MIN(C25:F25),C25:F25,0))</f>
        <v/>
      </c>
      <c r="H25" s="31" t="n"/>
      <c r="I25" s="31" t="n"/>
      <c r="J25" s="31" t="n"/>
      <c r="K25" s="31" t="n"/>
    </row>
    <row r="26" ht="24" customHeight="1">
      <c r="A26" s="42" t="n">
        <v>0.4</v>
      </c>
      <c r="B26" s="43">
        <f>1-A26</f>
        <v/>
      </c>
      <c r="C26" s="43">
        <f>A26*MCDM_CALCULATION!B8+B26*MCDM_CALCULATION!C8</f>
        <v/>
      </c>
      <c r="D26" s="43">
        <f>A26*MCDM_CALCULATION!B9+B26*MCDM_CALCULATION!C9</f>
        <v/>
      </c>
      <c r="E26" s="43">
        <f>A26*MCDM_CALCULATION!B10+B26*MCDM_CALCULATION!C10</f>
        <v/>
      </c>
      <c r="F26" s="43">
        <f>A26*MCDM_CALCULATION!B11+B26*MCDM_CALCULATION!C11</f>
        <v/>
      </c>
      <c r="G26" s="12">
        <f>INDEX($C$17:$F$17,1,MATCH(MIN(C26:F26),C26:F26,0))</f>
        <v/>
      </c>
      <c r="H26" s="31" t="n"/>
      <c r="I26" s="31" t="n"/>
      <c r="J26" s="31" t="n"/>
      <c r="K26" s="31" t="n"/>
    </row>
    <row r="27" ht="24" customHeight="1">
      <c r="A27" s="42" t="n">
        <v>0.45</v>
      </c>
      <c r="B27" s="43">
        <f>1-A27</f>
        <v/>
      </c>
      <c r="C27" s="43">
        <f>A27*MCDM_CALCULATION!B8+B27*MCDM_CALCULATION!C8</f>
        <v/>
      </c>
      <c r="D27" s="43">
        <f>A27*MCDM_CALCULATION!B9+B27*MCDM_CALCULATION!C9</f>
        <v/>
      </c>
      <c r="E27" s="43">
        <f>A27*MCDM_CALCULATION!B10+B27*MCDM_CALCULATION!C10</f>
        <v/>
      </c>
      <c r="F27" s="43">
        <f>A27*MCDM_CALCULATION!B11+B27*MCDM_CALCULATION!C11</f>
        <v/>
      </c>
      <c r="G27" s="12">
        <f>INDEX($C$17:$F$17,1,MATCH(MIN(C27:F27),C27:F27,0))</f>
        <v/>
      </c>
      <c r="H27" s="31" t="n"/>
      <c r="I27" s="31" t="n"/>
      <c r="J27" s="31" t="n"/>
      <c r="K27" s="31" t="n"/>
    </row>
    <row r="28" ht="24" customHeight="1">
      <c r="A28" s="42" t="n">
        <v>0.5</v>
      </c>
      <c r="B28" s="43">
        <f>1-A28</f>
        <v/>
      </c>
      <c r="C28" s="43">
        <f>A28*MCDM_CALCULATION!B8+B28*MCDM_CALCULATION!C8</f>
        <v/>
      </c>
      <c r="D28" s="43">
        <f>A28*MCDM_CALCULATION!B9+B28*MCDM_CALCULATION!C9</f>
        <v/>
      </c>
      <c r="E28" s="43">
        <f>A28*MCDM_CALCULATION!B10+B28*MCDM_CALCULATION!C10</f>
        <v/>
      </c>
      <c r="F28" s="43">
        <f>A28*MCDM_CALCULATION!B11+B28*MCDM_CALCULATION!C11</f>
        <v/>
      </c>
      <c r="G28" s="12">
        <f>INDEX($C$17:$F$17,1,MATCH(MIN(C28:F28),C28:F28,0))</f>
        <v/>
      </c>
      <c r="H28" s="31" t="n"/>
      <c r="I28" s="31" t="n"/>
      <c r="J28" s="31" t="n"/>
      <c r="K28" s="31" t="n"/>
    </row>
    <row r="29" ht="24" customHeight="1">
      <c r="A29" s="42" t="n">
        <v>0.55</v>
      </c>
      <c r="B29" s="43">
        <f>1-A29</f>
        <v/>
      </c>
      <c r="C29" s="43">
        <f>A29*MCDM_CALCULATION!B8+B29*MCDM_CALCULATION!C8</f>
        <v/>
      </c>
      <c r="D29" s="43">
        <f>A29*MCDM_CALCULATION!B9+B29*MCDM_CALCULATION!C9</f>
        <v/>
      </c>
      <c r="E29" s="43">
        <f>A29*MCDM_CALCULATION!B10+B29*MCDM_CALCULATION!C10</f>
        <v/>
      </c>
      <c r="F29" s="43">
        <f>A29*MCDM_CALCULATION!B11+B29*MCDM_CALCULATION!C11</f>
        <v/>
      </c>
      <c r="G29" s="12">
        <f>INDEX($C$17:$F$17,1,MATCH(MIN(C29:F29),C29:F29,0))</f>
        <v/>
      </c>
      <c r="H29" s="31" t="n"/>
      <c r="I29" s="31" t="n"/>
      <c r="J29" s="31" t="n"/>
      <c r="K29" s="31" t="n"/>
    </row>
    <row r="30" ht="24" customHeight="1">
      <c r="A30" s="42" t="n">
        <v>0.6</v>
      </c>
      <c r="B30" s="43">
        <f>1-A30</f>
        <v/>
      </c>
      <c r="C30" s="43">
        <f>A30*MCDM_CALCULATION!B8+B30*MCDM_CALCULATION!C8</f>
        <v/>
      </c>
      <c r="D30" s="43">
        <f>A30*MCDM_CALCULATION!B9+B30*MCDM_CALCULATION!C9</f>
        <v/>
      </c>
      <c r="E30" s="43">
        <f>A30*MCDM_CALCULATION!B10+B30*MCDM_CALCULATION!C10</f>
        <v/>
      </c>
      <c r="F30" s="43">
        <f>A30*MCDM_CALCULATION!B11+B30*MCDM_CALCULATION!C11</f>
        <v/>
      </c>
      <c r="G30" s="12">
        <f>INDEX($C$17:$F$17,1,MATCH(MIN(C30:F30),C30:F30,0))</f>
        <v/>
      </c>
      <c r="H30" s="31" t="n"/>
      <c r="I30" s="31" t="n"/>
      <c r="J30" s="31" t="n"/>
      <c r="K30" s="31" t="n"/>
    </row>
    <row r="31" ht="24" customHeight="1">
      <c r="A31" s="42" t="n">
        <v>0.65</v>
      </c>
      <c r="B31" s="43">
        <f>1-A31</f>
        <v/>
      </c>
      <c r="C31" s="43">
        <f>A31*MCDM_CALCULATION!B8+B31*MCDM_CALCULATION!C8</f>
        <v/>
      </c>
      <c r="D31" s="43">
        <f>A31*MCDM_CALCULATION!B9+B31*MCDM_CALCULATION!C9</f>
        <v/>
      </c>
      <c r="E31" s="43">
        <f>A31*MCDM_CALCULATION!B10+B31*MCDM_CALCULATION!C10</f>
        <v/>
      </c>
      <c r="F31" s="43">
        <f>A31*MCDM_CALCULATION!B11+B31*MCDM_CALCULATION!C11</f>
        <v/>
      </c>
      <c r="G31" s="12">
        <f>INDEX($C$17:$F$17,1,MATCH(MIN(C31:F31),C31:F31,0))</f>
        <v/>
      </c>
      <c r="H31" s="31" t="n"/>
      <c r="I31" s="31" t="n"/>
      <c r="J31" s="31" t="n"/>
      <c r="K31" s="31" t="n"/>
    </row>
    <row r="32" ht="24" customHeight="1">
      <c r="A32" s="42" t="n">
        <v>0.7</v>
      </c>
      <c r="B32" s="43">
        <f>1-A32</f>
        <v/>
      </c>
      <c r="C32" s="43">
        <f>A32*MCDM_CALCULATION!B8+B32*MCDM_CALCULATION!C8</f>
        <v/>
      </c>
      <c r="D32" s="43">
        <f>A32*MCDM_CALCULATION!B9+B32*MCDM_CALCULATION!C9</f>
        <v/>
      </c>
      <c r="E32" s="43">
        <f>A32*MCDM_CALCULATION!B10+B32*MCDM_CALCULATION!C10</f>
        <v/>
      </c>
      <c r="F32" s="43">
        <f>A32*MCDM_CALCULATION!B11+B32*MCDM_CALCULATION!C11</f>
        <v/>
      </c>
      <c r="G32" s="12">
        <f>INDEX($C$17:$F$17,1,MATCH(MIN(C32:F32),C32:F32,0))</f>
        <v/>
      </c>
      <c r="H32" s="31" t="n"/>
      <c r="I32" s="31" t="n"/>
      <c r="J32" s="31" t="n"/>
      <c r="K32" s="31" t="n"/>
    </row>
    <row r="33" ht="24" customHeight="1">
      <c r="A33" s="42" t="n">
        <v>0.75</v>
      </c>
      <c r="B33" s="43">
        <f>1-A33</f>
        <v/>
      </c>
      <c r="C33" s="43">
        <f>A33*MCDM_CALCULATION!B8+B33*MCDM_CALCULATION!C8</f>
        <v/>
      </c>
      <c r="D33" s="43">
        <f>A33*MCDM_CALCULATION!B9+B33*MCDM_CALCULATION!C9</f>
        <v/>
      </c>
      <c r="E33" s="43">
        <f>A33*MCDM_CALCULATION!B10+B33*MCDM_CALCULATION!C10</f>
        <v/>
      </c>
      <c r="F33" s="43">
        <f>A33*MCDM_CALCULATION!B11+B33*MCDM_CALCULATION!C11</f>
        <v/>
      </c>
      <c r="G33" s="12">
        <f>INDEX($C$17:$F$17,1,MATCH(MIN(C33:F33),C33:F33,0))</f>
        <v/>
      </c>
      <c r="H33" s="31" t="n"/>
      <c r="I33" s="31" t="n"/>
      <c r="J33" s="31" t="n"/>
      <c r="K33" s="31" t="n"/>
    </row>
    <row r="34" ht="24" customHeight="1">
      <c r="A34" s="42" t="n">
        <v>0.8</v>
      </c>
      <c r="B34" s="43">
        <f>1-A34</f>
        <v/>
      </c>
      <c r="C34" s="43">
        <f>A34*MCDM_CALCULATION!B8+B34*MCDM_CALCULATION!C8</f>
        <v/>
      </c>
      <c r="D34" s="43">
        <f>A34*MCDM_CALCULATION!B9+B34*MCDM_CALCULATION!C9</f>
        <v/>
      </c>
      <c r="E34" s="43">
        <f>A34*MCDM_CALCULATION!B10+B34*MCDM_CALCULATION!C10</f>
        <v/>
      </c>
      <c r="F34" s="43">
        <f>A34*MCDM_CALCULATION!B11+B34*MCDM_CALCULATION!C11</f>
        <v/>
      </c>
      <c r="G34" s="12">
        <f>INDEX($C$17:$F$17,1,MATCH(MIN(C34:F34),C34:F34,0))</f>
        <v/>
      </c>
      <c r="H34" s="31" t="n"/>
      <c r="I34" s="31" t="n"/>
      <c r="J34" s="31" t="n"/>
      <c r="K34" s="31" t="n"/>
    </row>
    <row r="35" ht="24" customHeight="1">
      <c r="A35" s="42" t="n">
        <v>0.85</v>
      </c>
      <c r="B35" s="43">
        <f>1-A35</f>
        <v/>
      </c>
      <c r="C35" s="43">
        <f>A35*MCDM_CALCULATION!B8+B35*MCDM_CALCULATION!C8</f>
        <v/>
      </c>
      <c r="D35" s="43">
        <f>A35*MCDM_CALCULATION!B9+B35*MCDM_CALCULATION!C9</f>
        <v/>
      </c>
      <c r="E35" s="43">
        <f>A35*MCDM_CALCULATION!B10+B35*MCDM_CALCULATION!C10</f>
        <v/>
      </c>
      <c r="F35" s="43">
        <f>A35*MCDM_CALCULATION!B11+B35*MCDM_CALCULATION!C11</f>
        <v/>
      </c>
      <c r="G35" s="12">
        <f>INDEX($C$17:$F$17,1,MATCH(MIN(C35:F35),C35:F35,0))</f>
        <v/>
      </c>
      <c r="H35" s="31" t="n"/>
      <c r="I35" s="31" t="n"/>
      <c r="J35" s="31" t="n"/>
      <c r="K35" s="31" t="n"/>
    </row>
    <row r="36" ht="24" customHeight="1">
      <c r="A36" s="42" t="n">
        <v>0.9</v>
      </c>
      <c r="B36" s="43">
        <f>1-A36</f>
        <v/>
      </c>
      <c r="C36" s="43">
        <f>A36*MCDM_CALCULATION!B8+B36*MCDM_CALCULATION!C8</f>
        <v/>
      </c>
      <c r="D36" s="43">
        <f>A36*MCDM_CALCULATION!B9+B36*MCDM_CALCULATION!C9</f>
        <v/>
      </c>
      <c r="E36" s="43">
        <f>A36*MCDM_CALCULATION!B10+B36*MCDM_CALCULATION!C10</f>
        <v/>
      </c>
      <c r="F36" s="43">
        <f>A36*MCDM_CALCULATION!B11+B36*MCDM_CALCULATION!C11</f>
        <v/>
      </c>
      <c r="G36" s="12">
        <f>INDEX($C$17:$F$17,1,MATCH(MIN(C36:F36),C36:F36,0))</f>
        <v/>
      </c>
      <c r="H36" s="31" t="n"/>
      <c r="I36" s="31" t="n"/>
      <c r="J36" s="31" t="n"/>
      <c r="K36" s="31" t="n"/>
    </row>
    <row r="37" ht="24" customHeight="1">
      <c r="A37" s="42" t="n">
        <v>0.95</v>
      </c>
      <c r="B37" s="43">
        <f>1-A37</f>
        <v/>
      </c>
      <c r="C37" s="43">
        <f>A37*MCDM_CALCULATION!B8+B37*MCDM_CALCULATION!C8</f>
        <v/>
      </c>
      <c r="D37" s="43">
        <f>A37*MCDM_CALCULATION!B9+B37*MCDM_CALCULATION!C9</f>
        <v/>
      </c>
      <c r="E37" s="43">
        <f>A37*MCDM_CALCULATION!B10+B37*MCDM_CALCULATION!C10</f>
        <v/>
      </c>
      <c r="F37" s="43">
        <f>A37*MCDM_CALCULATION!B11+B37*MCDM_CALCULATION!C11</f>
        <v/>
      </c>
      <c r="G37" s="12">
        <f>INDEX($C$17:$F$17,1,MATCH(MIN(C37:F37),C37:F37,0))</f>
        <v/>
      </c>
      <c r="H37" s="31" t="n"/>
      <c r="I37" s="31" t="n"/>
      <c r="J37" s="31" t="n"/>
      <c r="K37" s="31" t="n"/>
    </row>
    <row r="38" ht="24" customHeight="1">
      <c r="A38" s="42" t="n">
        <v>1</v>
      </c>
      <c r="B38" s="43">
        <f>1-A38</f>
        <v/>
      </c>
      <c r="C38" s="43">
        <f>A38*MCDM_CALCULATION!B8+B38*MCDM_CALCULATION!C8</f>
        <v/>
      </c>
      <c r="D38" s="43">
        <f>A38*MCDM_CALCULATION!B9+B38*MCDM_CALCULATION!C9</f>
        <v/>
      </c>
      <c r="E38" s="43">
        <f>A38*MCDM_CALCULATION!B10+B38*MCDM_CALCULATION!C10</f>
        <v/>
      </c>
      <c r="F38" s="43">
        <f>A38*MCDM_CALCULATION!B11+B38*MCDM_CALCULATION!C11</f>
        <v/>
      </c>
      <c r="G38" s="12">
        <f>INDEX($C$17:$F$17,1,MATCH(MIN(C38:F38),C38:F38,0))</f>
        <v/>
      </c>
      <c r="H38" s="31" t="n"/>
      <c r="I38" s="31" t="n"/>
      <c r="J38" s="31" t="n"/>
      <c r="K38" s="31" t="n"/>
    </row>
    <row r="39" ht="24" customHeight="1">
      <c r="A39" s="31" t="n"/>
      <c r="B39" s="31" t="n"/>
      <c r="C39" s="31" t="n"/>
      <c r="D39" s="31" t="n"/>
      <c r="E39" s="31" t="n"/>
      <c r="F39" s="31" t="n"/>
      <c r="G39" s="31" t="n"/>
      <c r="H39" s="31" t="n"/>
      <c r="I39" s="31" t="n"/>
      <c r="J39" s="31" t="n"/>
      <c r="K39" s="31" t="n"/>
    </row>
    <row r="40" ht="24" customHeight="1">
      <c r="A40" s="31" t="n"/>
      <c r="B40" s="31" t="n"/>
      <c r="C40" s="31" t="n"/>
      <c r="D40" s="31" t="n"/>
      <c r="E40" s="31" t="n"/>
      <c r="F40" s="31" t="n"/>
      <c r="G40" s="31" t="n"/>
      <c r="H40" s="31" t="n"/>
      <c r="I40" s="31" t="n"/>
      <c r="J40" s="31" t="n"/>
      <c r="K40" s="31" t="n"/>
    </row>
    <row r="41" ht="24" customHeight="1">
      <c r="A41" s="31" t="n"/>
      <c r="B41" s="31" t="n"/>
      <c r="C41" s="31" t="n"/>
      <c r="D41" s="31" t="n"/>
      <c r="E41" s="31" t="n"/>
      <c r="F41" s="31" t="n"/>
      <c r="G41" s="31" t="n"/>
      <c r="H41" s="31" t="n"/>
      <c r="I41" s="31" t="n"/>
      <c r="J41" s="31" t="n"/>
      <c r="K41" s="31" t="n"/>
    </row>
    <row r="42" ht="24" customHeight="1">
      <c r="A42" s="31" t="n"/>
      <c r="B42" s="31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</row>
    <row r="43" ht="38" customHeight="1">
      <c r="A43" s="7" t="inlineStr">
        <is>
          <t>TECO setting</t>
        </is>
      </c>
      <c r="B43" s="7" t="inlineStr">
        <is>
          <t>Mean time (s)</t>
        </is>
      </c>
      <c r="C43" s="7" t="inlineStr">
        <is>
          <t>Mean CO2 (g)</t>
        </is>
      </c>
      <c r="D43" s="7" t="inlineStr">
        <is>
          <t>Mean P95 (s)</t>
        </is>
      </c>
      <c r="E43" s="7" t="inlineStr">
        <is>
          <t>CO2 WAPE, run mean</t>
        </is>
      </c>
      <c r="F43" s="7" t="inlineStr">
        <is>
          <t>Realized above predicted time bound</t>
        </is>
      </c>
      <c r="G43" s="31" t="n"/>
      <c r="H43" s="31" t="n"/>
      <c r="I43" s="31" t="n"/>
      <c r="J43" s="31" t="n"/>
      <c r="K43" s="31" t="n"/>
    </row>
    <row r="44" ht="24" customHeight="1">
      <c r="A44" s="31" t="inlineStr">
        <is>
          <t>TECO05</t>
        </is>
      </c>
      <c r="B44" s="44" t="n">
        <v>475.6671542366842</v>
      </c>
      <c r="C44" s="44" t="n">
        <v>1197.750837727925</v>
      </c>
      <c r="D44" s="44" t="n">
        <v>672.7569444444445</v>
      </c>
      <c r="E44" s="44" t="n">
        <v>0.1548207149768722</v>
      </c>
      <c r="F44" s="44" t="n">
        <v>0.5412105497334366</v>
      </c>
      <c r="G44" s="31" t="n"/>
      <c r="H44" s="31" t="n"/>
      <c r="I44" s="31" t="n"/>
      <c r="J44" s="31" t="n"/>
      <c r="K44" s="31" t="n"/>
    </row>
    <row r="45" ht="24" customHeight="1">
      <c r="A45" s="31" t="inlineStr">
        <is>
          <t>TECO10</t>
        </is>
      </c>
      <c r="B45" s="44" t="n">
        <v>564.9331606865952</v>
      </c>
      <c r="C45" s="44" t="n">
        <v>1268.290793927163</v>
      </c>
      <c r="D45" s="44" t="n">
        <v>800.8979166666666</v>
      </c>
      <c r="E45" s="44" t="n">
        <v>0.1282778844532662</v>
      </c>
      <c r="F45" s="44" t="n">
        <v>0.3555159746838224</v>
      </c>
      <c r="G45" s="31" t="n"/>
      <c r="H45" s="31" t="n"/>
      <c r="I45" s="31" t="n"/>
      <c r="J45" s="31" t="n"/>
      <c r="K45" s="31" t="n"/>
    </row>
    <row r="46" ht="24" customHeight="1">
      <c r="A46" s="31" t="inlineStr">
        <is>
          <t>TECO15</t>
        </is>
      </c>
      <c r="B46" s="44" t="n">
        <v>590.3177243663531</v>
      </c>
      <c r="C46" s="44" t="n">
        <v>1349.421269238961</v>
      </c>
      <c r="D46" s="44" t="n">
        <v>834.8847222222222</v>
      </c>
      <c r="E46" s="44" t="n">
        <v>0.121319258856954</v>
      </c>
      <c r="F46" s="44" t="n">
        <v>0.2613345395369923</v>
      </c>
      <c r="G46" s="31" t="n"/>
      <c r="H46" s="31" t="n"/>
      <c r="I46" s="31" t="n"/>
      <c r="J46" s="31" t="n"/>
      <c r="K46" s="31" t="n"/>
    </row>
    <row r="47" ht="24" customHeight="1">
      <c r="A47" s="31" t="n"/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</row>
    <row r="48" ht="24" customHeight="1">
      <c r="A48" s="31" t="n"/>
      <c r="B48" s="31" t="n"/>
      <c r="C48" s="31" t="n"/>
      <c r="D48" s="31" t="n"/>
      <c r="E48" s="31" t="n"/>
      <c r="F48" s="31" t="n"/>
      <c r="G48" s="31" t="n"/>
      <c r="H48" s="31" t="n"/>
      <c r="I48" s="31" t="n"/>
      <c r="J48" s="31" t="n"/>
      <c r="K48" s="31" t="n"/>
    </row>
    <row r="49" ht="24" customHeight="1">
      <c r="A49" s="31" t="inlineStr">
        <is>
          <t>TECO interpretation</t>
        </is>
      </c>
      <c r="B49" s="31" t="inlineStr">
        <is>
          <t>These are observed development effects, not guaranteed realized detour bounds. No final alpha is frozen.</t>
        </is>
      </c>
      <c r="C49" s="31" t="n"/>
      <c r="D49" s="31" t="n"/>
      <c r="E49" s="31" t="n"/>
      <c r="F49" s="31" t="n"/>
      <c r="G49" s="31" t="n"/>
      <c r="H49" s="31" t="n"/>
      <c r="I49" s="31" t="n"/>
      <c r="J49" s="31" t="n"/>
      <c r="K49" s="31" t="n"/>
    </row>
    <row r="50" ht="24" customHeight="1">
      <c r="A50" s="31" t="n"/>
      <c r="B50" s="31" t="n"/>
      <c r="C50" s="31" t="n"/>
      <c r="D50" s="31" t="n"/>
      <c r="E50" s="31" t="n"/>
      <c r="F50" s="31" t="n"/>
      <c r="G50" s="31" t="n"/>
      <c r="H50" s="31" t="n"/>
      <c r="I50" s="31" t="n"/>
      <c r="J50" s="31" t="n"/>
      <c r="K50" s="31" t="n"/>
    </row>
    <row r="51" ht="24" customHeight="1">
      <c r="A51" s="31" t="n"/>
      <c r="B51" s="31" t="n"/>
      <c r="C51" s="31" t="n"/>
      <c r="D51" s="31" t="n"/>
      <c r="E51" s="31" t="n"/>
      <c r="F51" s="31" t="n"/>
      <c r="G51" s="31" t="n"/>
      <c r="H51" s="31" t="n"/>
      <c r="I51" s="31" t="n"/>
      <c r="J51" s="31" t="n"/>
      <c r="K51" s="31" t="n"/>
    </row>
    <row r="52" ht="24" customHeight="1">
      <c r="A52" s="31" t="inlineStr">
        <is>
          <t>Full-design diagnostic</t>
        </is>
      </c>
      <c r="B52" s="31" t="inlineStr">
        <is>
          <t>Balanced / time-heavy / environment-heavy winners are identical in all 24 contexts.</t>
        </is>
      </c>
      <c r="C52" s="31" t="n"/>
      <c r="D52" s="31" t="n"/>
      <c r="E52" s="31" t="n"/>
      <c r="F52" s="31" t="n"/>
      <c r="G52" s="31" t="n"/>
      <c r="H52" s="31" t="n"/>
      <c r="I52" s="31" t="n"/>
      <c r="J52" s="31" t="n"/>
      <c r="K52" s="31" t="n"/>
    </row>
    <row r="53" ht="24" customHeight="1">
      <c r="A53" s="31" t="n"/>
      <c r="B53" s="31" t="n"/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</row>
    <row r="54" ht="24" customHeight="1">
      <c r="A54" s="31" t="inlineStr">
        <is>
          <t>Broad 0..1 sweep</t>
        </is>
      </c>
      <c r="B54" s="31" t="inlineStr">
        <is>
          <t>Only 1 of 24 contexts changes winner over the 0.05-spaced two-criterion weight sweep.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</row>
    <row r="55" ht="24" customHeight="1">
      <c r="A55" s="31" t="n"/>
      <c r="B55" s="31" t="n"/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</row>
    <row r="56" ht="24" customHeight="1">
      <c r="A56" s="31" t="inlineStr">
        <is>
          <t>Third criteria</t>
        </is>
      </c>
      <c r="B56" s="31" t="inlineStr">
        <is>
          <t>Distance-set changes 0/24 balanced choices; Tail-set changes 1/24.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</row>
    <row r="57" ht="24" customHeight="1">
      <c r="A57" s="31" t="n"/>
      <c r="B57" s="31" t="n"/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</row>
    <row r="58" ht="24" customHeight="1">
      <c r="A58" s="31" t="n"/>
      <c r="B58" s="31" t="n"/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</row>
    <row r="59" ht="24" customHeight="1">
      <c r="A59" s="31" t="n"/>
      <c r="B59" s="31" t="n"/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</row>
    <row r="60" ht="24" customHeight="1">
      <c r="A60" s="31" t="n"/>
      <c r="B60" s="31" t="n"/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</row>
    <row r="61" ht="24" customHeight="1">
      <c r="A61" s="31" t="n"/>
      <c r="B61" s="31" t="n"/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</row>
    <row r="62" ht="24" customHeight="1">
      <c r="A62" s="31" t="n"/>
      <c r="B62" s="31" t="n"/>
      <c r="C62" s="31" t="n"/>
      <c r="D62" s="31" t="n"/>
      <c r="E62" s="31" t="n"/>
      <c r="F62" s="31" t="n"/>
      <c r="G62" s="31" t="n"/>
      <c r="H62" s="31" t="n"/>
      <c r="I62" s="31" t="n"/>
      <c r="J62" s="31" t="n"/>
      <c r="K62" s="31" t="n"/>
    </row>
    <row r="63" ht="24" customHeight="1">
      <c r="A63" s="31" t="n"/>
      <c r="B63" s="31" t="n"/>
      <c r="C63" s="31" t="n"/>
      <c r="D63" s="31" t="n"/>
      <c r="E63" s="31" t="n"/>
      <c r="F63" s="31" t="n"/>
      <c r="G63" s="31" t="n"/>
      <c r="H63" s="31" t="n"/>
      <c r="I63" s="31" t="n"/>
      <c r="J63" s="31" t="n"/>
      <c r="K63" s="31" t="n"/>
    </row>
    <row r="64" ht="24" customHeight="1">
      <c r="A64" s="31" t="n"/>
      <c r="B64" s="31" t="n"/>
      <c r="C64" s="31" t="n"/>
      <c r="D64" s="31" t="n"/>
      <c r="E64" s="31" t="n"/>
      <c r="F64" s="31" t="n"/>
      <c r="G64" s="31" t="n"/>
      <c r="H64" s="31" t="n"/>
      <c r="I64" s="31" t="n"/>
      <c r="J64" s="31" t="n"/>
      <c r="K64" s="31" t="n"/>
    </row>
    <row r="65" ht="24" customHeight="1">
      <c r="A65" s="31" t="n"/>
      <c r="B65" s="31" t="n"/>
      <c r="C65" s="31" t="n"/>
      <c r="D65" s="31" t="n"/>
      <c r="E65" s="31" t="n"/>
      <c r="F65" s="31" t="n"/>
      <c r="G65" s="31" t="n"/>
      <c r="H65" s="31" t="n"/>
      <c r="I65" s="31" t="n"/>
      <c r="J65" s="31" t="n"/>
      <c r="K65" s="31" t="n"/>
    </row>
    <row r="66" ht="24" customHeight="1">
      <c r="A66" s="31" t="n"/>
      <c r="B66" s="31" t="n"/>
      <c r="C66" s="31" t="n"/>
      <c r="D66" s="31" t="n"/>
      <c r="E66" s="31" t="n"/>
      <c r="F66" s="31" t="n"/>
      <c r="G66" s="31" t="n"/>
      <c r="H66" s="31" t="n"/>
      <c r="I66" s="31" t="n"/>
      <c r="J66" s="31" t="n"/>
      <c r="K66" s="31" t="n"/>
    </row>
    <row r="67" ht="24" customHeight="1">
      <c r="A67" s="31" t="n"/>
      <c r="B67" s="31" t="n"/>
      <c r="C67" s="31" t="n"/>
      <c r="D67" s="31" t="n"/>
      <c r="E67" s="31" t="n"/>
      <c r="F67" s="31" t="n"/>
      <c r="G67" s="31" t="n"/>
      <c r="H67" s="31" t="n"/>
      <c r="I67" s="31" t="n"/>
      <c r="J67" s="31" t="n"/>
      <c r="K67" s="31" t="n"/>
    </row>
    <row r="68" ht="24" customHeight="1">
      <c r="A68" s="31" t="n"/>
      <c r="B68" s="31" t="n"/>
      <c r="C68" s="31" t="n"/>
      <c r="D68" s="31" t="n"/>
      <c r="E68" s="31" t="n"/>
      <c r="F68" s="31" t="n"/>
      <c r="G68" s="31" t="n"/>
      <c r="H68" s="31" t="n"/>
      <c r="I68" s="31" t="n"/>
      <c r="J68" s="31" t="n"/>
      <c r="K68" s="31" t="n"/>
    </row>
    <row r="69" ht="24" customHeight="1">
      <c r="A69" s="31" t="n"/>
      <c r="B69" s="31" t="n"/>
      <c r="C69" s="31" t="n"/>
      <c r="D69" s="31" t="n"/>
      <c r="E69" s="31" t="n"/>
      <c r="F69" s="31" t="n"/>
      <c r="G69" s="31" t="n"/>
      <c r="H69" s="31" t="n"/>
      <c r="I69" s="31" t="n"/>
      <c r="J69" s="31" t="n"/>
      <c r="K69" s="31" t="n"/>
    </row>
    <row r="70" ht="24" customHeight="1">
      <c r="A70" s="31" t="n"/>
      <c r="B70" s="31" t="n"/>
      <c r="C70" s="31" t="n"/>
      <c r="D70" s="31" t="n"/>
      <c r="E70" s="31" t="n"/>
      <c r="F70" s="31" t="n"/>
      <c r="G70" s="31" t="n"/>
      <c r="H70" s="31" t="n"/>
      <c r="I70" s="31" t="n"/>
      <c r="J70" s="31" t="n"/>
      <c r="K70" s="31" t="n"/>
    </row>
    <row r="71" ht="24" customHeight="1">
      <c r="A71" s="31" t="n"/>
      <c r="B71" s="31" t="n"/>
      <c r="C71" s="31" t="n"/>
      <c r="D71" s="31" t="n"/>
      <c r="E71" s="31" t="n"/>
      <c r="F71" s="31" t="n"/>
      <c r="G71" s="31" t="n"/>
      <c r="H71" s="31" t="n"/>
      <c r="I71" s="31" t="n"/>
      <c r="J71" s="31" t="n"/>
      <c r="K71" s="31" t="n"/>
    </row>
    <row r="72" ht="24" customHeight="1">
      <c r="A72" s="31" t="n"/>
      <c r="B72" s="31" t="n"/>
      <c r="C72" s="31" t="n"/>
      <c r="D72" s="31" t="n"/>
      <c r="E72" s="31" t="n"/>
      <c r="F72" s="31" t="n"/>
      <c r="G72" s="31" t="n"/>
      <c r="H72" s="31" t="n"/>
      <c r="I72" s="31" t="n"/>
      <c r="J72" s="31" t="n"/>
      <c r="K72" s="31" t="n"/>
    </row>
    <row r="73" ht="24" customHeight="1">
      <c r="A73" s="31" t="n"/>
      <c r="B73" s="31" t="n"/>
      <c r="C73" s="31" t="n"/>
      <c r="D73" s="31" t="n"/>
      <c r="E73" s="31" t="n"/>
      <c r="F73" s="31" t="n"/>
      <c r="G73" s="31" t="n"/>
      <c r="H73" s="31" t="n"/>
      <c r="I73" s="31" t="n"/>
      <c r="J73" s="31" t="n"/>
      <c r="K73" s="31" t="n"/>
    </row>
    <row r="74" ht="24" customHeight="1">
      <c r="A74" s="31" t="n"/>
      <c r="B74" s="31" t="n"/>
      <c r="C74" s="31" t="n"/>
      <c r="D74" s="31" t="n"/>
      <c r="E74" s="31" t="n"/>
      <c r="F74" s="31" t="n"/>
      <c r="G74" s="31" t="n"/>
      <c r="H74" s="31" t="n"/>
      <c r="I74" s="31" t="n"/>
      <c r="J74" s="31" t="n"/>
      <c r="K74" s="31" t="n"/>
    </row>
    <row r="75" ht="24" customHeight="1">
      <c r="A75" s="31" t="n"/>
      <c r="B75" s="31" t="n"/>
      <c r="C75" s="31" t="n"/>
      <c r="D75" s="31" t="n"/>
      <c r="E75" s="31" t="n"/>
      <c r="F75" s="31" t="n"/>
      <c r="G75" s="31" t="n"/>
      <c r="H75" s="31" t="n"/>
      <c r="I75" s="31" t="n"/>
      <c r="J75" s="31" t="n"/>
      <c r="K75" s="31" t="n"/>
    </row>
    <row r="76" ht="24" customHeight="1">
      <c r="A76" s="31" t="n"/>
      <c r="B76" s="31" t="n"/>
      <c r="C76" s="31" t="n"/>
      <c r="D76" s="31" t="n"/>
      <c r="E76" s="31" t="n"/>
      <c r="F76" s="31" t="n"/>
      <c r="G76" s="31" t="n"/>
      <c r="H76" s="31" t="n"/>
      <c r="I76" s="31" t="n"/>
      <c r="J76" s="31" t="n"/>
      <c r="K76" s="31" t="n"/>
    </row>
    <row r="77" ht="24" customHeight="1">
      <c r="A77" s="31" t="n"/>
      <c r="B77" s="31" t="n"/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</row>
    <row r="78" ht="24" customHeight="1">
      <c r="A78" s="31" t="n"/>
      <c r="B78" s="31" t="n"/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</row>
    <row r="79" ht="24" customHeight="1">
      <c r="A79" s="31" t="n"/>
      <c r="B79" s="31" t="n"/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</row>
    <row r="80" ht="24" customHeight="1">
      <c r="A80" s="31" t="n"/>
      <c r="B80" s="31" t="n"/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</row>
    <row r="81" ht="24" customHeight="1">
      <c r="A81" s="31" t="n"/>
      <c r="B81" s="31" t="n"/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</row>
    <row r="82" ht="24" customHeight="1">
      <c r="A82" s="31" t="n"/>
      <c r="B82" s="31" t="n"/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</row>
    <row r="83" ht="24" customHeight="1">
      <c r="A83" s="31" t="n"/>
      <c r="B83" s="31" t="n"/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pane xSplit="1" ySplit="7" topLeftCell="B8" activePane="bottomRight" state="frozen"/>
      <selection activeCell="A1" sqref="A1"/>
    </sheetView>
  </sheetViews>
  <sheetFormatPr baseColWidth="8" defaultRowHeight="15"/>
  <cols>
    <col width="32" customWidth="1" min="1" max="1"/>
    <col width="28" customWidth="1" min="2" max="2"/>
    <col width="42" customWidth="1" min="3" max="3"/>
    <col width="44" customWidth="1" min="4" max="4"/>
    <col width="6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4" customHeight="1">
      <c r="A1" s="31" t="n"/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</row>
    <row r="2" ht="24" customHeight="1">
      <c r="A2" s="3" t="inlineStr">
        <is>
          <t>New selector is NOT FITTED</t>
        </is>
      </c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</row>
    <row r="3" ht="24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</row>
    <row r="4" ht="24" customHeight="1">
      <c r="A4" s="4" t="inlineStr">
        <is>
          <t>Main release is blocked by route-order validation; these cells are deliberately not invented predictions.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</row>
    <row r="5" ht="24" customHeight="1">
      <c r="A5" s="31" t="n"/>
      <c r="B5" s="31" t="n"/>
      <c r="C5" s="31" t="n"/>
      <c r="D5" s="31" t="n"/>
      <c r="E5" s="31" t="n"/>
      <c r="F5" s="31" t="n"/>
      <c r="G5" s="31" t="n"/>
      <c r="H5" s="31" t="n"/>
      <c r="I5" s="31" t="n"/>
      <c r="J5" s="31" t="n"/>
    </row>
    <row r="6" ht="24" customHeight="1">
      <c r="A6" s="31" t="n"/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</row>
    <row r="7" ht="38" customHeight="1">
      <c r="A7" s="7" t="inlineStr">
        <is>
          <t>Stage</t>
        </is>
      </c>
      <c r="B7" s="7" t="inlineStr">
        <is>
          <t>Context count</t>
        </is>
      </c>
      <c r="C7" s="7" t="inlineStr">
        <is>
          <t>Role</t>
        </is>
      </c>
      <c r="D7" s="7" t="inlineStr">
        <is>
          <t>Model status</t>
        </is>
      </c>
      <c r="E7" s="7" t="inlineStr">
        <is>
          <t>Evidence</t>
        </is>
      </c>
      <c r="F7" s="31" t="n"/>
      <c r="G7" s="31" t="n"/>
      <c r="H7" s="31" t="n"/>
      <c r="I7" s="31" t="n"/>
      <c r="J7" s="31" t="n"/>
    </row>
    <row r="8" ht="44" customHeight="1">
      <c r="A8" s="31" t="inlineStr">
        <is>
          <t>Pilot</t>
        </is>
      </c>
      <c r="B8" s="31" t="n">
        <v>30</v>
      </c>
      <c r="C8" s="8" t="inlineStr">
        <is>
          <t>21 training / 9 test; frozen historical model</t>
        </is>
      </c>
      <c r="D8" s="8" t="inlineStr">
        <is>
          <t>ALREADY COMPLETED</t>
        </is>
      </c>
      <c r="E8" s="8" t="inlineStr">
        <is>
          <t>Always DTT; no positive adaptive gain</t>
        </is>
      </c>
      <c r="F8" s="31" t="n"/>
      <c r="G8" s="31" t="n"/>
      <c r="H8" s="31" t="n"/>
      <c r="I8" s="31" t="n"/>
      <c r="J8" s="31" t="n"/>
    </row>
    <row r="9" ht="44" customHeight="1">
      <c r="A9" s="31" t="inlineStr">
        <is>
          <t>Current development</t>
        </is>
      </c>
      <c r="B9" s="31" t="n">
        <v>24</v>
      </c>
      <c r="C9" s="8" t="inlineStr">
        <is>
          <t>Engineering / complementarity diagnostics</t>
        </is>
      </c>
      <c r="D9" s="8" t="inlineStr">
        <is>
          <t>NOT USED TO CLAIM TEST GAIN</t>
        </is>
      </c>
      <c r="E9" s="8" t="inlineStr">
        <is>
          <t>432 runs + separate route probes</t>
        </is>
      </c>
      <c r="F9" s="31" t="n"/>
      <c r="G9" s="31" t="n"/>
      <c r="H9" s="31" t="n"/>
      <c r="I9" s="31" t="n"/>
      <c r="J9" s="31" t="n"/>
    </row>
    <row r="10" ht="44" customHeight="1">
      <c r="A10" s="31" t="inlineStr">
        <is>
          <t>Candidate main training</t>
        </is>
      </c>
      <c r="B10" s="31" t="n">
        <v>84</v>
      </c>
      <c r="C10" s="8" t="inlineStr">
        <is>
          <t>Fit scaled multi-output CART</t>
        </is>
      </c>
      <c r="D10" s="8" t="inlineStr">
        <is>
          <t>TO BE GENERATED</t>
        </is>
      </c>
      <c r="E10" s="8" t="inlineStr">
        <is>
          <t>No new main data</t>
        </is>
      </c>
      <c r="F10" s="31" t="n"/>
      <c r="G10" s="31" t="n"/>
      <c r="H10" s="31" t="n"/>
      <c r="I10" s="31" t="n"/>
      <c r="J10" s="31" t="n"/>
    </row>
    <row r="11" ht="44" customHeight="1">
      <c r="A11" s="31" t="inlineStr">
        <is>
          <t>Candidate validation</t>
        </is>
      </c>
      <c r="B11" s="31" t="n">
        <v>28</v>
      </c>
      <c r="C11" s="8" t="inlineStr">
        <is>
          <t>One prespecified model check / lock</t>
        </is>
      </c>
      <c r="D11" s="8" t="inlineStr">
        <is>
          <t>TO BE GENERATED</t>
        </is>
      </c>
      <c r="E11" s="8" t="inlineStr">
        <is>
          <t>Do not alter test from this result</t>
        </is>
      </c>
      <c r="F11" s="31" t="n"/>
      <c r="G11" s="31" t="n"/>
      <c r="H11" s="31" t="n"/>
      <c r="I11" s="31" t="n"/>
      <c r="J11" s="31" t="n"/>
    </row>
    <row r="12" ht="44" customHeight="1">
      <c r="A12" s="31" t="inlineStr">
        <is>
          <t>Candidate test</t>
        </is>
      </c>
      <c r="B12" s="31" t="n">
        <v>28</v>
      </c>
      <c r="C12" s="8" t="inlineStr">
        <is>
          <t>One held-out observed decision evaluation</t>
        </is>
      </c>
      <c r="D12" s="8" t="inlineStr">
        <is>
          <t>TO BE GENERATED</t>
        </is>
      </c>
      <c r="E12" s="8" t="inlineStr">
        <is>
          <t>No new predictions or losses</t>
        </is>
      </c>
      <c r="F12" s="31" t="n"/>
      <c r="G12" s="31" t="n"/>
      <c r="H12" s="31" t="n"/>
      <c r="I12" s="31" t="n"/>
      <c r="J12" s="31" t="n"/>
    </row>
    <row r="13" ht="24" customHeight="1">
      <c r="A13" s="31" t="n"/>
      <c r="B13" s="31" t="n"/>
      <c r="C13" s="31" t="n"/>
      <c r="D13" s="31" t="n"/>
      <c r="E13" s="31" t="n"/>
      <c r="F13" s="31" t="n"/>
      <c r="G13" s="31" t="n"/>
      <c r="H13" s="31" t="n"/>
      <c r="I13" s="31" t="n"/>
      <c r="J13" s="31" t="n"/>
    </row>
    <row r="14" ht="24" customHeight="1">
      <c r="A14" s="31" t="n"/>
      <c r="B14" s="31" t="n"/>
      <c r="C14" s="31" t="n"/>
      <c r="D14" s="31" t="n"/>
      <c r="E14" s="31" t="n"/>
      <c r="F14" s="31" t="n"/>
      <c r="G14" s="31" t="n"/>
      <c r="H14" s="31" t="n"/>
      <c r="I14" s="31" t="n"/>
      <c r="J14" s="31" t="n"/>
    </row>
    <row r="15" ht="24" customHeight="1">
      <c r="A15" s="31" t="n"/>
      <c r="B15" s="31" t="n"/>
      <c r="C15" s="31" t="n"/>
      <c r="D15" s="31" t="n"/>
      <c r="E15" s="31" t="n"/>
      <c r="F15" s="31" t="n"/>
      <c r="G15" s="31" t="n"/>
      <c r="H15" s="31" t="n"/>
      <c r="I15" s="31" t="n"/>
      <c r="J15" s="31" t="n"/>
    </row>
    <row r="16" ht="38" customHeight="1">
      <c r="A16" s="7" t="inlineStr">
        <is>
          <t>Feature</t>
        </is>
      </c>
      <c r="B16" s="7" t="inlineStr">
        <is>
          <t>Available when?</t>
        </is>
      </c>
      <c r="C16" s="7" t="inlineStr">
        <is>
          <t>Encoding</t>
        </is>
      </c>
      <c r="D16" s="7" t="inlineStr">
        <is>
          <t>Leakage restriction</t>
        </is>
      </c>
      <c r="E16" s="31" t="n"/>
      <c r="F16" s="31" t="n"/>
      <c r="G16" s="31" t="n"/>
      <c r="H16" s="31" t="n"/>
      <c r="I16" s="31" t="n"/>
      <c r="J16" s="31" t="n"/>
    </row>
    <row r="17" ht="24" customHeight="1">
      <c r="A17" s="31" t="inlineStr">
        <is>
          <t>Primary demand</t>
        </is>
      </c>
      <c r="B17" s="31" t="inlineStr">
        <is>
          <t>Scheduled before episode</t>
        </is>
      </c>
      <c r="C17" s="31" t="inlineStr">
        <is>
          <t>Numeric veh/h</t>
        </is>
      </c>
      <c r="D17" s="31" t="inlineStr">
        <is>
          <t>No future realized demand outcome</t>
        </is>
      </c>
      <c r="E17" s="31" t="n"/>
      <c r="F17" s="31" t="n"/>
      <c r="G17" s="31" t="n"/>
      <c r="H17" s="31" t="n"/>
      <c r="I17" s="31" t="n"/>
      <c r="J17" s="31" t="n"/>
    </row>
    <row r="18" ht="24" customHeight="1">
      <c r="A18" s="31" t="inlineStr">
        <is>
          <t>Background per stream</t>
        </is>
      </c>
      <c r="B18" s="31" t="inlineStr">
        <is>
          <t>Scheduled before episode</t>
        </is>
      </c>
      <c r="C18" s="31" t="inlineStr">
        <is>
          <t>Numeric veh/h</t>
        </is>
      </c>
      <c r="D18" s="31" t="inlineStr">
        <is>
          <t>Same manifest across compared policies</t>
        </is>
      </c>
      <c r="E18" s="31" t="n"/>
      <c r="F18" s="31" t="n"/>
      <c r="G18" s="31" t="n"/>
      <c r="H18" s="31" t="n"/>
      <c r="I18" s="31" t="n"/>
      <c r="J18" s="31" t="n"/>
    </row>
    <row r="19" ht="24" customHeight="1">
      <c r="A19" s="31" t="inlineStr">
        <is>
          <t>Restriction location</t>
        </is>
      </c>
      <c r="B19" s="31" t="inlineStr">
        <is>
          <t>Known planned restriction</t>
        </is>
      </c>
      <c r="C19" s="31" t="inlineStr">
        <is>
          <t>One-hot location</t>
        </is>
      </c>
      <c r="D19" s="31" t="inlineStr">
        <is>
          <t>Unannounced incidents require separate detection study</t>
        </is>
      </c>
      <c r="E19" s="31" t="n"/>
      <c r="F19" s="31" t="n"/>
      <c r="G19" s="31" t="n"/>
      <c r="H19" s="31" t="n"/>
      <c r="I19" s="31" t="n"/>
      <c r="J19" s="31" t="n"/>
    </row>
    <row r="20" ht="24" customHeight="1">
      <c r="A20" s="31" t="inlineStr">
        <is>
          <t>Restriction speed ratio</t>
        </is>
      </c>
      <c r="B20" s="31" t="inlineStr">
        <is>
          <t>Known planned control</t>
        </is>
      </c>
      <c r="C20" s="31" t="inlineStr">
        <is>
          <t>Numeric 0.35/0.65 or1</t>
        </is>
      </c>
      <c r="D20" s="31" t="inlineStr">
        <is>
          <t>No future realized queue</t>
        </is>
      </c>
      <c r="E20" s="31" t="n"/>
      <c r="F20" s="31" t="n"/>
      <c r="G20" s="31" t="n"/>
      <c r="H20" s="31" t="n"/>
      <c r="I20" s="31" t="n"/>
      <c r="J20" s="31" t="n"/>
    </row>
    <row r="21" ht="24" customHeight="1">
      <c r="A21" s="31" t="inlineStr">
        <is>
          <t>Signal regime</t>
        </is>
      </c>
      <c r="B21" s="31" t="inlineStr">
        <is>
          <t>Controller plan known</t>
        </is>
      </c>
      <c r="C21" s="31" t="inlineStr">
        <is>
          <t>Binary regime</t>
        </is>
      </c>
      <c r="D21" s="31" t="inlineStr">
        <is>
          <t>No realized travel times/emissions</t>
        </is>
      </c>
      <c r="E21" s="31" t="n"/>
      <c r="F21" s="31" t="n"/>
      <c r="G21" s="31" t="n"/>
      <c r="H21" s="31" t="n"/>
      <c r="I21" s="31" t="n"/>
      <c r="J21" s="31" t="n"/>
    </row>
    <row r="22" ht="24" customHeight="1">
      <c r="A22" s="31" t="n"/>
      <c r="B22" s="31" t="n"/>
      <c r="C22" s="31" t="n"/>
      <c r="D22" s="31" t="n"/>
      <c r="E22" s="31" t="n"/>
      <c r="F22" s="31" t="n"/>
      <c r="G22" s="31" t="n"/>
      <c r="H22" s="31" t="n"/>
      <c r="I22" s="31" t="n"/>
      <c r="J22" s="31" t="n"/>
    </row>
    <row r="23" ht="24" customHeight="1">
      <c r="A23" s="31" t="n"/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</row>
    <row r="24" ht="24" customHeight="1">
      <c r="A24" s="31" t="inlineStr">
        <is>
          <t>Recommended task</t>
        </is>
      </c>
      <c r="B24" s="31" t="inlineStr">
        <is>
          <t>Predict all policy outcomes; apply the same frozen preferences to predictions; evaluate chosen policy on observed test outcomes.</t>
        </is>
      </c>
      <c r="C24" s="31" t="n"/>
      <c r="D24" s="31" t="n"/>
      <c r="E24" s="31" t="n"/>
      <c r="F24" s="31" t="n"/>
      <c r="G24" s="31" t="n"/>
      <c r="H24" s="31" t="n"/>
      <c r="I24" s="31" t="n"/>
      <c r="J24" s="31" t="n"/>
    </row>
    <row r="25" ht="24" customHeight="1">
      <c r="A25" s="31" t="n"/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</row>
    <row r="26" ht="24" customHeight="1">
      <c r="A26" s="31" t="n"/>
      <c r="B26" s="31" t="n"/>
      <c r="C26" s="31" t="n"/>
      <c r="D26" s="31" t="n"/>
      <c r="E26" s="31" t="n"/>
      <c r="F26" s="31" t="n"/>
      <c r="G26" s="31" t="n"/>
      <c r="H26" s="31" t="n"/>
      <c r="I26" s="31" t="n"/>
      <c r="J26" s="31" t="n"/>
    </row>
    <row r="27" ht="24" customHeight="1">
      <c r="A27" s="31" t="inlineStr">
        <is>
          <t>Recommended model</t>
        </is>
      </c>
      <c r="B27" s="31" t="inlineStr">
        <is>
          <t>CART depth3, min leaf8, training-only scaled outputs. Constant training-mean prediction baseline.</t>
        </is>
      </c>
      <c r="C27" s="31" t="n"/>
      <c r="D27" s="31" t="n"/>
      <c r="E27" s="31" t="n"/>
      <c r="F27" s="31" t="n"/>
      <c r="G27" s="31" t="n"/>
      <c r="H27" s="31" t="n"/>
      <c r="I27" s="31" t="n"/>
      <c r="J27" s="31" t="n"/>
    </row>
    <row r="28" ht="24" customHeight="1">
      <c r="A28" s="31" t="n"/>
      <c r="B28" s="31" t="n"/>
      <c r="C28" s="31" t="n"/>
      <c r="D28" s="31" t="n"/>
      <c r="E28" s="31" t="n"/>
      <c r="F28" s="31" t="n"/>
      <c r="G28" s="31" t="n"/>
      <c r="H28" s="31" t="n"/>
      <c r="I28" s="31" t="n"/>
      <c r="J28" s="31" t="n"/>
    </row>
    <row r="29" ht="24" customHeight="1">
      <c r="A29" s="31" t="n"/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</row>
    <row r="30" ht="24" customHeight="1">
      <c r="A30" s="31" t="inlineStr">
        <is>
          <t>Why regression?</t>
        </is>
      </c>
      <c r="B30" s="31" t="inlineStr">
        <is>
          <t>Reusable across declared weights; direct labels conflate preferences and physical prediction.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</row>
    <row r="31" ht="24" customHeight="1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</row>
    <row r="32" ht="24" customHeight="1">
      <c r="A32" s="31" t="n"/>
      <c r="B32" s="31" t="n"/>
      <c r="C32" s="31" t="n"/>
      <c r="D32" s="31" t="n"/>
      <c r="E32" s="31" t="n"/>
      <c r="F32" s="31" t="n"/>
      <c r="G32" s="31" t="n"/>
      <c r="H32" s="31" t="n"/>
      <c r="I32" s="31" t="n"/>
      <c r="J32" s="31" t="n"/>
    </row>
    <row r="33" ht="24" customHeight="1">
      <c r="A33" s="31" t="inlineStr">
        <is>
          <t>Grouping</t>
        </is>
      </c>
      <c r="B33" s="31" t="inlineStr">
        <is>
          <t>All replications of a context together. 140 contexts remain 140 ML examples, not 2,800.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</row>
    <row r="34" ht="24" customHeight="1">
      <c r="A34" s="31" t="n"/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</row>
    <row r="35" ht="24" customHeight="1">
      <c r="A35" s="31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</row>
    <row r="36" ht="24" customHeight="1">
      <c r="A36" s="31" t="inlineStr">
        <is>
          <t>Test meaning</t>
        </is>
      </c>
      <c r="B36" s="31" t="inlineStr">
        <is>
          <t>Held-out factor combinations in the same synthetic network/range; not city transfer or out-of-range extrapolation.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</row>
    <row r="37" ht="24" customHeight="1">
      <c r="A37" s="31" t="n"/>
      <c r="B37" s="31" t="n"/>
      <c r="C37" s="31" t="n"/>
      <c r="D37" s="31" t="n"/>
      <c r="E37" s="31" t="n"/>
      <c r="F37" s="31" t="n"/>
      <c r="G37" s="31" t="n"/>
      <c r="H37" s="31" t="n"/>
      <c r="I37" s="31" t="n"/>
      <c r="J37" s="31" t="n"/>
    </row>
    <row r="38" ht="24" customHeight="1">
      <c r="A38" s="31" t="n"/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</row>
    <row r="39" ht="24" customHeight="1">
      <c r="A39" s="31" t="n"/>
      <c r="B39" s="31" t="n"/>
      <c r="C39" s="31" t="n"/>
      <c r="D39" s="31" t="n"/>
      <c r="E39" s="31" t="n"/>
      <c r="F39" s="31" t="n"/>
      <c r="G39" s="31" t="n"/>
      <c r="H39" s="31" t="n"/>
      <c r="I39" s="31" t="n"/>
      <c r="J39" s="31" t="n"/>
    </row>
    <row r="40" ht="24" customHeight="1">
      <c r="A40" s="31" t="n"/>
      <c r="B40" s="31" t="n"/>
      <c r="C40" s="31" t="n"/>
      <c r="D40" s="31" t="n"/>
      <c r="E40" s="31" t="n"/>
      <c r="F40" s="31" t="n"/>
      <c r="G40" s="31" t="n"/>
      <c r="H40" s="31" t="n"/>
      <c r="I40" s="31" t="n"/>
      <c r="J40" s="31" t="n"/>
    </row>
    <row r="41" ht="24" customHeight="1">
      <c r="A41" s="31" t="n"/>
      <c r="B41" s="31" t="n"/>
      <c r="C41" s="31" t="n"/>
      <c r="D41" s="31" t="n"/>
      <c r="E41" s="31" t="n"/>
      <c r="F41" s="31" t="n"/>
      <c r="G41" s="31" t="n"/>
      <c r="H41" s="31" t="n"/>
      <c r="I41" s="31" t="n"/>
      <c r="J41" s="31" t="n"/>
    </row>
    <row r="42" ht="24" customHeight="1">
      <c r="A42" s="31" t="n"/>
      <c r="B42" s="31" t="n"/>
      <c r="C42" s="31" t="n"/>
      <c r="D42" s="31" t="n"/>
      <c r="E42" s="31" t="n"/>
      <c r="F42" s="31" t="n"/>
      <c r="G42" s="31" t="n"/>
      <c r="H42" s="31" t="n"/>
      <c r="I42" s="31" t="n"/>
      <c r="J42" s="31" t="n"/>
    </row>
    <row r="43" ht="24" customHeight="1">
      <c r="A43" s="31" t="n"/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</row>
    <row r="44" ht="24" customHeight="1">
      <c r="A44" s="31" t="n"/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</row>
    <row r="45" ht="24" customHeight="1">
      <c r="A45" s="31" t="n"/>
      <c r="B45" s="31" t="n"/>
      <c r="C45" s="31" t="n"/>
      <c r="D45" s="31" t="n"/>
      <c r="E45" s="31" t="n"/>
      <c r="F45" s="31" t="n"/>
      <c r="G45" s="31" t="n"/>
      <c r="H45" s="31" t="n"/>
      <c r="I45" s="31" t="n"/>
      <c r="J45" s="31" t="n"/>
    </row>
    <row r="46" ht="24" customHeight="1">
      <c r="A46" s="31" t="n"/>
      <c r="B46" s="31" t="n"/>
      <c r="C46" s="31" t="n"/>
      <c r="D46" s="31" t="n"/>
      <c r="E46" s="31" t="n"/>
      <c r="F46" s="31" t="n"/>
      <c r="G46" s="31" t="n"/>
      <c r="H46" s="31" t="n"/>
      <c r="I46" s="31" t="n"/>
      <c r="J46" s="31" t="n"/>
    </row>
    <row r="47" ht="24" customHeight="1">
      <c r="A47" s="31" t="n"/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</row>
    <row r="48" ht="24" customHeight="1">
      <c r="A48" s="31" t="n"/>
      <c r="B48" s="31" t="n"/>
      <c r="C48" s="31" t="n"/>
      <c r="D48" s="31" t="n"/>
      <c r="E48" s="31" t="n"/>
      <c r="F48" s="31" t="n"/>
      <c r="G48" s="31" t="n"/>
      <c r="H48" s="31" t="n"/>
      <c r="I48" s="31" t="n"/>
      <c r="J48" s="31" t="n"/>
    </row>
    <row r="49" ht="24" customHeight="1">
      <c r="A49" s="31" t="n"/>
      <c r="B49" s="31" t="n"/>
      <c r="C49" s="31" t="n"/>
      <c r="D49" s="31" t="n"/>
      <c r="E49" s="31" t="n"/>
      <c r="F49" s="31" t="n"/>
      <c r="G49" s="31" t="n"/>
      <c r="H49" s="31" t="n"/>
      <c r="I49" s="31" t="n"/>
      <c r="J49" s="31" t="n"/>
    </row>
    <row r="50" ht="24" customHeight="1">
      <c r="A50" s="31" t="n"/>
      <c r="B50" s="31" t="n"/>
      <c r="C50" s="31" t="n"/>
      <c r="D50" s="31" t="n"/>
      <c r="E50" s="31" t="n"/>
      <c r="F50" s="31" t="n"/>
      <c r="G50" s="31" t="n"/>
      <c r="H50" s="31" t="n"/>
      <c r="I50" s="31" t="n"/>
      <c r="J50" s="31" t="n"/>
    </row>
    <row r="51" ht="24" customHeight="1">
      <c r="A51" s="31" t="n"/>
      <c r="B51" s="31" t="n"/>
      <c r="C51" s="31" t="n"/>
      <c r="D51" s="31" t="n"/>
      <c r="E51" s="31" t="n"/>
      <c r="F51" s="31" t="n"/>
      <c r="G51" s="31" t="n"/>
      <c r="H51" s="31" t="n"/>
      <c r="I51" s="31" t="n"/>
      <c r="J51" s="31" t="n"/>
    </row>
    <row r="52" ht="24" customHeight="1">
      <c r="A52" s="31" t="n"/>
      <c r="B52" s="31" t="n"/>
      <c r="C52" s="31" t="n"/>
      <c r="D52" s="31" t="n"/>
      <c r="E52" s="31" t="n"/>
      <c r="F52" s="31" t="n"/>
      <c r="G52" s="31" t="n"/>
      <c r="H52" s="31" t="n"/>
      <c r="I52" s="31" t="n"/>
      <c r="J52" s="31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7"/>
  <sheetViews>
    <sheetView showGridLines="0" workbookViewId="0">
      <pane xSplit="1" ySplit="7" topLeftCell="B8" activePane="bottomRight" state="frozen"/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  <col width="28" customWidth="1" min="4" max="4"/>
    <col width="28" customWidth="1" min="5" max="5"/>
    <col width="28" customWidth="1" min="6" max="6"/>
    <col width="27" customWidth="1" min="7" max="7"/>
    <col width="28" customWidth="1" min="8" max="8"/>
    <col width="28" customWidth="1" min="9" max="9"/>
    <col width="28" customWidth="1" min="10" max="10"/>
    <col width="29" customWidth="1" min="11" max="11"/>
    <col width="32" customWidth="1" min="12" max="12"/>
  </cols>
  <sheetData>
    <row r="1" ht="24" customHeight="1">
      <c r="A1" s="31" t="n"/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</row>
    <row r="2" ht="24" customHeight="1">
      <c r="A2" s="3" t="inlineStr">
        <is>
          <t>Descriptive development headroom; no new ML result</t>
        </is>
      </c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</row>
    <row r="3" ht="24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</row>
    <row r="4" ht="24" customHeight="1">
      <c r="A4" s="4" t="inlineStr">
        <is>
          <t>Fixed and oracle calculated on the same development matrix: descriptive opportunity, NOT held-out performance.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</row>
    <row r="5" ht="24" customHeight="1">
      <c r="A5" s="31" t="n"/>
      <c r="B5" s="31" t="n"/>
      <c r="C5" s="31" t="n"/>
      <c r="D5" s="31" t="n"/>
      <c r="E5" s="31" t="n"/>
      <c r="F5" s="31" t="n"/>
      <c r="G5" s="31" t="n"/>
      <c r="H5" s="31" t="n"/>
      <c r="I5" s="31" t="n"/>
      <c r="J5" s="31" t="n"/>
      <c r="K5" s="31" t="n"/>
      <c r="L5" s="31" t="n"/>
    </row>
    <row r="6" ht="24" customHeight="1">
      <c r="A6" s="31" t="n"/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</row>
    <row r="7" ht="38" customHeight="1">
      <c r="A7" s="7" t="inlineStr">
        <is>
          <t>Context</t>
        </is>
      </c>
      <c r="B7" s="7" t="inlineStr">
        <is>
          <t>SP cost</t>
        </is>
      </c>
      <c r="C7" s="7" t="inlineStr">
        <is>
          <t>DTT cost</t>
        </is>
      </c>
      <c r="D7" s="7" t="inlineStr">
        <is>
          <t>ECO cost</t>
        </is>
      </c>
      <c r="E7" s="7" t="inlineStr">
        <is>
          <t>TECO10 cost</t>
        </is>
      </c>
      <c r="F7" s="7" t="inlineStr">
        <is>
          <t>Oracle cost</t>
        </is>
      </c>
      <c r="G7" s="7" t="inlineStr">
        <is>
          <t>SP regret</t>
        </is>
      </c>
      <c r="H7" s="7" t="inlineStr">
        <is>
          <t>DTT regret</t>
        </is>
      </c>
      <c r="I7" s="7" t="inlineStr">
        <is>
          <t>ECO regret</t>
        </is>
      </c>
      <c r="J7" s="7" t="inlineStr">
        <is>
          <t>TECO10 regret</t>
        </is>
      </c>
      <c r="K7" s="7" t="inlineStr">
        <is>
          <t>Winner</t>
        </is>
      </c>
      <c r="L7" s="7" t="inlineStr">
        <is>
          <t>Fixed DTT headroom</t>
        </is>
      </c>
    </row>
    <row r="8" ht="24" customHeight="1">
      <c r="A8" s="31" t="inlineStr">
        <is>
          <t>D001</t>
        </is>
      </c>
      <c r="B8" s="36">
        <f>REDESIGN_RESULTS!D8/WEIGHTS!$B$22*WEIGHTS!$B$19+REDESIGN_RESULTS!E8/WEIGHTS!$C$22*WEIGHTS!$C$19+REDESIGN_RESULTS!F8/WEIGHTS!$D$22*WEIGHTS!$D$19+REDESIGN_RESULTS!G8/WEIGHTS!$E$22*WEIGHTS!$E$19</f>
        <v/>
      </c>
      <c r="C8" s="36">
        <f>REDESIGN_RESULTS!D9/WEIGHTS!$B$22*WEIGHTS!$B$19+REDESIGN_RESULTS!E9/WEIGHTS!$C$22*WEIGHTS!$C$19+REDESIGN_RESULTS!F9/WEIGHTS!$D$22*WEIGHTS!$D$19+REDESIGN_RESULTS!G9/WEIGHTS!$E$22*WEIGHTS!$E$19</f>
        <v/>
      </c>
      <c r="D8" s="36">
        <f>REDESIGN_RESULTS!D10/WEIGHTS!$B$22*WEIGHTS!$B$19+REDESIGN_RESULTS!E10/WEIGHTS!$C$22*WEIGHTS!$C$19+REDESIGN_RESULTS!F10/WEIGHTS!$D$22*WEIGHTS!$D$19+REDESIGN_RESULTS!G10/WEIGHTS!$E$22*WEIGHTS!$E$19</f>
        <v/>
      </c>
      <c r="E8" s="36">
        <f>REDESIGN_RESULTS!D12/WEIGHTS!$B$22*WEIGHTS!$B$19+REDESIGN_RESULTS!E12/WEIGHTS!$C$22*WEIGHTS!$C$19+REDESIGN_RESULTS!F12/WEIGHTS!$D$22*WEIGHTS!$D$19+REDESIGN_RESULTS!G12/WEIGHTS!$E$22*WEIGHTS!$E$19</f>
        <v/>
      </c>
      <c r="F8" s="36">
        <f>MIN(B8:E8)</f>
        <v/>
      </c>
      <c r="G8" s="36">
        <f>B8-F8</f>
        <v/>
      </c>
      <c r="H8" s="36">
        <f>C8-F8</f>
        <v/>
      </c>
      <c r="I8" s="36">
        <f>D8-F8</f>
        <v/>
      </c>
      <c r="J8" s="36">
        <f>E8-F8</f>
        <v/>
      </c>
      <c r="K8" s="12">
        <f>INDEX($B$7:$E$7,1,MATCH(F8,B8:E8,0))</f>
        <v/>
      </c>
      <c r="L8" s="36">
        <f>H8</f>
        <v/>
      </c>
    </row>
    <row r="9" ht="24" customHeight="1">
      <c r="A9" s="31" t="inlineStr">
        <is>
          <t>D002</t>
        </is>
      </c>
      <c r="B9" s="36">
        <f>REDESIGN_RESULTS!D14/WEIGHTS!$B$22*WEIGHTS!$B$19+REDESIGN_RESULTS!E14/WEIGHTS!$C$22*WEIGHTS!$C$19+REDESIGN_RESULTS!F14/WEIGHTS!$D$22*WEIGHTS!$D$19+REDESIGN_RESULTS!G14/WEIGHTS!$E$22*WEIGHTS!$E$19</f>
        <v/>
      </c>
      <c r="C9" s="36">
        <f>REDESIGN_RESULTS!D15/WEIGHTS!$B$22*WEIGHTS!$B$19+REDESIGN_RESULTS!E15/WEIGHTS!$C$22*WEIGHTS!$C$19+REDESIGN_RESULTS!F15/WEIGHTS!$D$22*WEIGHTS!$D$19+REDESIGN_RESULTS!G15/WEIGHTS!$E$22*WEIGHTS!$E$19</f>
        <v/>
      </c>
      <c r="D9" s="36">
        <f>REDESIGN_RESULTS!D16/WEIGHTS!$B$22*WEIGHTS!$B$19+REDESIGN_RESULTS!E16/WEIGHTS!$C$22*WEIGHTS!$C$19+REDESIGN_RESULTS!F16/WEIGHTS!$D$22*WEIGHTS!$D$19+REDESIGN_RESULTS!G16/WEIGHTS!$E$22*WEIGHTS!$E$19</f>
        <v/>
      </c>
      <c r="E9" s="36">
        <f>REDESIGN_RESULTS!D18/WEIGHTS!$B$22*WEIGHTS!$B$19+REDESIGN_RESULTS!E18/WEIGHTS!$C$22*WEIGHTS!$C$19+REDESIGN_RESULTS!F18/WEIGHTS!$D$22*WEIGHTS!$D$19+REDESIGN_RESULTS!G18/WEIGHTS!$E$22*WEIGHTS!$E$19</f>
        <v/>
      </c>
      <c r="F9" s="36">
        <f>MIN(B9:E9)</f>
        <v/>
      </c>
      <c r="G9" s="36">
        <f>B9-F9</f>
        <v/>
      </c>
      <c r="H9" s="36">
        <f>C9-F9</f>
        <v/>
      </c>
      <c r="I9" s="36">
        <f>D9-F9</f>
        <v/>
      </c>
      <c r="J9" s="36">
        <f>E9-F9</f>
        <v/>
      </c>
      <c r="K9" s="12">
        <f>INDEX($B$7:$E$7,1,MATCH(F9,B9:E9,0))</f>
        <v/>
      </c>
      <c r="L9" s="36">
        <f>H9</f>
        <v/>
      </c>
    </row>
    <row r="10" ht="24" customHeight="1">
      <c r="A10" s="31" t="inlineStr">
        <is>
          <t>D003</t>
        </is>
      </c>
      <c r="B10" s="36">
        <f>REDESIGN_RESULTS!D20/WEIGHTS!$B$22*WEIGHTS!$B$19+REDESIGN_RESULTS!E20/WEIGHTS!$C$22*WEIGHTS!$C$19+REDESIGN_RESULTS!F20/WEIGHTS!$D$22*WEIGHTS!$D$19+REDESIGN_RESULTS!G20/WEIGHTS!$E$22*WEIGHTS!$E$19</f>
        <v/>
      </c>
      <c r="C10" s="36">
        <f>REDESIGN_RESULTS!D21/WEIGHTS!$B$22*WEIGHTS!$B$19+REDESIGN_RESULTS!E21/WEIGHTS!$C$22*WEIGHTS!$C$19+REDESIGN_RESULTS!F21/WEIGHTS!$D$22*WEIGHTS!$D$19+REDESIGN_RESULTS!G21/WEIGHTS!$E$22*WEIGHTS!$E$19</f>
        <v/>
      </c>
      <c r="D10" s="36">
        <f>REDESIGN_RESULTS!D22/WEIGHTS!$B$22*WEIGHTS!$B$19+REDESIGN_RESULTS!E22/WEIGHTS!$C$22*WEIGHTS!$C$19+REDESIGN_RESULTS!F22/WEIGHTS!$D$22*WEIGHTS!$D$19+REDESIGN_RESULTS!G22/WEIGHTS!$E$22*WEIGHTS!$E$19</f>
        <v/>
      </c>
      <c r="E10" s="36">
        <f>REDESIGN_RESULTS!D24/WEIGHTS!$B$22*WEIGHTS!$B$19+REDESIGN_RESULTS!E24/WEIGHTS!$C$22*WEIGHTS!$C$19+REDESIGN_RESULTS!F24/WEIGHTS!$D$22*WEIGHTS!$D$19+REDESIGN_RESULTS!G24/WEIGHTS!$E$22*WEIGHTS!$E$19</f>
        <v/>
      </c>
      <c r="F10" s="36">
        <f>MIN(B10:E10)</f>
        <v/>
      </c>
      <c r="G10" s="36">
        <f>B10-F10</f>
        <v/>
      </c>
      <c r="H10" s="36">
        <f>C10-F10</f>
        <v/>
      </c>
      <c r="I10" s="36">
        <f>D10-F10</f>
        <v/>
      </c>
      <c r="J10" s="36">
        <f>E10-F10</f>
        <v/>
      </c>
      <c r="K10" s="12">
        <f>INDEX($B$7:$E$7,1,MATCH(F10,B10:E10,0))</f>
        <v/>
      </c>
      <c r="L10" s="36">
        <f>H10</f>
        <v/>
      </c>
    </row>
    <row r="11" ht="24" customHeight="1">
      <c r="A11" s="31" t="inlineStr">
        <is>
          <t>D004</t>
        </is>
      </c>
      <c r="B11" s="36">
        <f>REDESIGN_RESULTS!D26/WEIGHTS!$B$22*WEIGHTS!$B$19+REDESIGN_RESULTS!E26/WEIGHTS!$C$22*WEIGHTS!$C$19+REDESIGN_RESULTS!F26/WEIGHTS!$D$22*WEIGHTS!$D$19+REDESIGN_RESULTS!G26/WEIGHTS!$E$22*WEIGHTS!$E$19</f>
        <v/>
      </c>
      <c r="C11" s="36">
        <f>REDESIGN_RESULTS!D27/WEIGHTS!$B$22*WEIGHTS!$B$19+REDESIGN_RESULTS!E27/WEIGHTS!$C$22*WEIGHTS!$C$19+REDESIGN_RESULTS!F27/WEIGHTS!$D$22*WEIGHTS!$D$19+REDESIGN_RESULTS!G27/WEIGHTS!$E$22*WEIGHTS!$E$19</f>
        <v/>
      </c>
      <c r="D11" s="36">
        <f>REDESIGN_RESULTS!D28/WEIGHTS!$B$22*WEIGHTS!$B$19+REDESIGN_RESULTS!E28/WEIGHTS!$C$22*WEIGHTS!$C$19+REDESIGN_RESULTS!F28/WEIGHTS!$D$22*WEIGHTS!$D$19+REDESIGN_RESULTS!G28/WEIGHTS!$E$22*WEIGHTS!$E$19</f>
        <v/>
      </c>
      <c r="E11" s="36">
        <f>REDESIGN_RESULTS!D30/WEIGHTS!$B$22*WEIGHTS!$B$19+REDESIGN_RESULTS!E30/WEIGHTS!$C$22*WEIGHTS!$C$19+REDESIGN_RESULTS!F30/WEIGHTS!$D$22*WEIGHTS!$D$19+REDESIGN_RESULTS!G30/WEIGHTS!$E$22*WEIGHTS!$E$19</f>
        <v/>
      </c>
      <c r="F11" s="36">
        <f>MIN(B11:E11)</f>
        <v/>
      </c>
      <c r="G11" s="36">
        <f>B11-F11</f>
        <v/>
      </c>
      <c r="H11" s="36">
        <f>C11-F11</f>
        <v/>
      </c>
      <c r="I11" s="36">
        <f>D11-F11</f>
        <v/>
      </c>
      <c r="J11" s="36">
        <f>E11-F11</f>
        <v/>
      </c>
      <c r="K11" s="12">
        <f>INDEX($B$7:$E$7,1,MATCH(F11,B11:E11,0))</f>
        <v/>
      </c>
      <c r="L11" s="36">
        <f>H11</f>
        <v/>
      </c>
    </row>
    <row r="12" ht="24" customHeight="1">
      <c r="A12" s="31" t="inlineStr">
        <is>
          <t>D005</t>
        </is>
      </c>
      <c r="B12" s="36">
        <f>REDESIGN_RESULTS!D32/WEIGHTS!$B$22*WEIGHTS!$B$19+REDESIGN_RESULTS!E32/WEIGHTS!$C$22*WEIGHTS!$C$19+REDESIGN_RESULTS!F32/WEIGHTS!$D$22*WEIGHTS!$D$19+REDESIGN_RESULTS!G32/WEIGHTS!$E$22*WEIGHTS!$E$19</f>
        <v/>
      </c>
      <c r="C12" s="36">
        <f>REDESIGN_RESULTS!D33/WEIGHTS!$B$22*WEIGHTS!$B$19+REDESIGN_RESULTS!E33/WEIGHTS!$C$22*WEIGHTS!$C$19+REDESIGN_RESULTS!F33/WEIGHTS!$D$22*WEIGHTS!$D$19+REDESIGN_RESULTS!G33/WEIGHTS!$E$22*WEIGHTS!$E$19</f>
        <v/>
      </c>
      <c r="D12" s="36">
        <f>REDESIGN_RESULTS!D34/WEIGHTS!$B$22*WEIGHTS!$B$19+REDESIGN_RESULTS!E34/WEIGHTS!$C$22*WEIGHTS!$C$19+REDESIGN_RESULTS!F34/WEIGHTS!$D$22*WEIGHTS!$D$19+REDESIGN_RESULTS!G34/WEIGHTS!$E$22*WEIGHTS!$E$19</f>
        <v/>
      </c>
      <c r="E12" s="36">
        <f>REDESIGN_RESULTS!D36/WEIGHTS!$B$22*WEIGHTS!$B$19+REDESIGN_RESULTS!E36/WEIGHTS!$C$22*WEIGHTS!$C$19+REDESIGN_RESULTS!F36/WEIGHTS!$D$22*WEIGHTS!$D$19+REDESIGN_RESULTS!G36/WEIGHTS!$E$22*WEIGHTS!$E$19</f>
        <v/>
      </c>
      <c r="F12" s="36">
        <f>MIN(B12:E12)</f>
        <v/>
      </c>
      <c r="G12" s="36">
        <f>B12-F12</f>
        <v/>
      </c>
      <c r="H12" s="36">
        <f>C12-F12</f>
        <v/>
      </c>
      <c r="I12" s="36">
        <f>D12-F12</f>
        <v/>
      </c>
      <c r="J12" s="36">
        <f>E12-F12</f>
        <v/>
      </c>
      <c r="K12" s="12">
        <f>INDEX($B$7:$E$7,1,MATCH(F12,B12:E12,0))</f>
        <v/>
      </c>
      <c r="L12" s="36">
        <f>H12</f>
        <v/>
      </c>
    </row>
    <row r="13" ht="24" customHeight="1">
      <c r="A13" s="31" t="inlineStr">
        <is>
          <t>D006</t>
        </is>
      </c>
      <c r="B13" s="36">
        <f>REDESIGN_RESULTS!D38/WEIGHTS!$B$22*WEIGHTS!$B$19+REDESIGN_RESULTS!E38/WEIGHTS!$C$22*WEIGHTS!$C$19+REDESIGN_RESULTS!F38/WEIGHTS!$D$22*WEIGHTS!$D$19+REDESIGN_RESULTS!G38/WEIGHTS!$E$22*WEIGHTS!$E$19</f>
        <v/>
      </c>
      <c r="C13" s="36">
        <f>REDESIGN_RESULTS!D39/WEIGHTS!$B$22*WEIGHTS!$B$19+REDESIGN_RESULTS!E39/WEIGHTS!$C$22*WEIGHTS!$C$19+REDESIGN_RESULTS!F39/WEIGHTS!$D$22*WEIGHTS!$D$19+REDESIGN_RESULTS!G39/WEIGHTS!$E$22*WEIGHTS!$E$19</f>
        <v/>
      </c>
      <c r="D13" s="36">
        <f>REDESIGN_RESULTS!D40/WEIGHTS!$B$22*WEIGHTS!$B$19+REDESIGN_RESULTS!E40/WEIGHTS!$C$22*WEIGHTS!$C$19+REDESIGN_RESULTS!F40/WEIGHTS!$D$22*WEIGHTS!$D$19+REDESIGN_RESULTS!G40/WEIGHTS!$E$22*WEIGHTS!$E$19</f>
        <v/>
      </c>
      <c r="E13" s="36">
        <f>REDESIGN_RESULTS!D42/WEIGHTS!$B$22*WEIGHTS!$B$19+REDESIGN_RESULTS!E42/WEIGHTS!$C$22*WEIGHTS!$C$19+REDESIGN_RESULTS!F42/WEIGHTS!$D$22*WEIGHTS!$D$19+REDESIGN_RESULTS!G42/WEIGHTS!$E$22*WEIGHTS!$E$19</f>
        <v/>
      </c>
      <c r="F13" s="36">
        <f>MIN(B13:E13)</f>
        <v/>
      </c>
      <c r="G13" s="36">
        <f>B13-F13</f>
        <v/>
      </c>
      <c r="H13" s="36">
        <f>C13-F13</f>
        <v/>
      </c>
      <c r="I13" s="36">
        <f>D13-F13</f>
        <v/>
      </c>
      <c r="J13" s="36">
        <f>E13-F13</f>
        <v/>
      </c>
      <c r="K13" s="12">
        <f>INDEX($B$7:$E$7,1,MATCH(F13,B13:E13,0))</f>
        <v/>
      </c>
      <c r="L13" s="36">
        <f>H13</f>
        <v/>
      </c>
    </row>
    <row r="14" ht="24" customHeight="1">
      <c r="A14" s="31" t="inlineStr">
        <is>
          <t>D007</t>
        </is>
      </c>
      <c r="B14" s="36">
        <f>REDESIGN_RESULTS!D44/WEIGHTS!$B$22*WEIGHTS!$B$19+REDESIGN_RESULTS!E44/WEIGHTS!$C$22*WEIGHTS!$C$19+REDESIGN_RESULTS!F44/WEIGHTS!$D$22*WEIGHTS!$D$19+REDESIGN_RESULTS!G44/WEIGHTS!$E$22*WEIGHTS!$E$19</f>
        <v/>
      </c>
      <c r="C14" s="36">
        <f>REDESIGN_RESULTS!D45/WEIGHTS!$B$22*WEIGHTS!$B$19+REDESIGN_RESULTS!E45/WEIGHTS!$C$22*WEIGHTS!$C$19+REDESIGN_RESULTS!F45/WEIGHTS!$D$22*WEIGHTS!$D$19+REDESIGN_RESULTS!G45/WEIGHTS!$E$22*WEIGHTS!$E$19</f>
        <v/>
      </c>
      <c r="D14" s="36">
        <f>REDESIGN_RESULTS!D46/WEIGHTS!$B$22*WEIGHTS!$B$19+REDESIGN_RESULTS!E46/WEIGHTS!$C$22*WEIGHTS!$C$19+REDESIGN_RESULTS!F46/WEIGHTS!$D$22*WEIGHTS!$D$19+REDESIGN_RESULTS!G46/WEIGHTS!$E$22*WEIGHTS!$E$19</f>
        <v/>
      </c>
      <c r="E14" s="36">
        <f>REDESIGN_RESULTS!D48/WEIGHTS!$B$22*WEIGHTS!$B$19+REDESIGN_RESULTS!E48/WEIGHTS!$C$22*WEIGHTS!$C$19+REDESIGN_RESULTS!F48/WEIGHTS!$D$22*WEIGHTS!$D$19+REDESIGN_RESULTS!G48/WEIGHTS!$E$22*WEIGHTS!$E$19</f>
        <v/>
      </c>
      <c r="F14" s="36">
        <f>MIN(B14:E14)</f>
        <v/>
      </c>
      <c r="G14" s="36">
        <f>B14-F14</f>
        <v/>
      </c>
      <c r="H14" s="36">
        <f>C14-F14</f>
        <v/>
      </c>
      <c r="I14" s="36">
        <f>D14-F14</f>
        <v/>
      </c>
      <c r="J14" s="36">
        <f>E14-F14</f>
        <v/>
      </c>
      <c r="K14" s="12">
        <f>INDEX($B$7:$E$7,1,MATCH(F14,B14:E14,0))</f>
        <v/>
      </c>
      <c r="L14" s="36">
        <f>H14</f>
        <v/>
      </c>
    </row>
    <row r="15" ht="24" customHeight="1">
      <c r="A15" s="31" t="inlineStr">
        <is>
          <t>D008</t>
        </is>
      </c>
      <c r="B15" s="36">
        <f>REDESIGN_RESULTS!D50/WEIGHTS!$B$22*WEIGHTS!$B$19+REDESIGN_RESULTS!E50/WEIGHTS!$C$22*WEIGHTS!$C$19+REDESIGN_RESULTS!F50/WEIGHTS!$D$22*WEIGHTS!$D$19+REDESIGN_RESULTS!G50/WEIGHTS!$E$22*WEIGHTS!$E$19</f>
        <v/>
      </c>
      <c r="C15" s="36">
        <f>REDESIGN_RESULTS!D51/WEIGHTS!$B$22*WEIGHTS!$B$19+REDESIGN_RESULTS!E51/WEIGHTS!$C$22*WEIGHTS!$C$19+REDESIGN_RESULTS!F51/WEIGHTS!$D$22*WEIGHTS!$D$19+REDESIGN_RESULTS!G51/WEIGHTS!$E$22*WEIGHTS!$E$19</f>
        <v/>
      </c>
      <c r="D15" s="36">
        <f>REDESIGN_RESULTS!D52/WEIGHTS!$B$22*WEIGHTS!$B$19+REDESIGN_RESULTS!E52/WEIGHTS!$C$22*WEIGHTS!$C$19+REDESIGN_RESULTS!F52/WEIGHTS!$D$22*WEIGHTS!$D$19+REDESIGN_RESULTS!G52/WEIGHTS!$E$22*WEIGHTS!$E$19</f>
        <v/>
      </c>
      <c r="E15" s="36">
        <f>REDESIGN_RESULTS!D54/WEIGHTS!$B$22*WEIGHTS!$B$19+REDESIGN_RESULTS!E54/WEIGHTS!$C$22*WEIGHTS!$C$19+REDESIGN_RESULTS!F54/WEIGHTS!$D$22*WEIGHTS!$D$19+REDESIGN_RESULTS!G54/WEIGHTS!$E$22*WEIGHTS!$E$19</f>
        <v/>
      </c>
      <c r="F15" s="36">
        <f>MIN(B15:E15)</f>
        <v/>
      </c>
      <c r="G15" s="36">
        <f>B15-F15</f>
        <v/>
      </c>
      <c r="H15" s="36">
        <f>C15-F15</f>
        <v/>
      </c>
      <c r="I15" s="36">
        <f>D15-F15</f>
        <v/>
      </c>
      <c r="J15" s="36">
        <f>E15-F15</f>
        <v/>
      </c>
      <c r="K15" s="12">
        <f>INDEX($B$7:$E$7,1,MATCH(F15,B15:E15,0))</f>
        <v/>
      </c>
      <c r="L15" s="36">
        <f>H15</f>
        <v/>
      </c>
    </row>
    <row r="16" ht="24" customHeight="1">
      <c r="A16" s="31" t="inlineStr">
        <is>
          <t>D009</t>
        </is>
      </c>
      <c r="B16" s="36">
        <f>REDESIGN_RESULTS!D56/WEIGHTS!$B$22*WEIGHTS!$B$19+REDESIGN_RESULTS!E56/WEIGHTS!$C$22*WEIGHTS!$C$19+REDESIGN_RESULTS!F56/WEIGHTS!$D$22*WEIGHTS!$D$19+REDESIGN_RESULTS!G56/WEIGHTS!$E$22*WEIGHTS!$E$19</f>
        <v/>
      </c>
      <c r="C16" s="36">
        <f>REDESIGN_RESULTS!D57/WEIGHTS!$B$22*WEIGHTS!$B$19+REDESIGN_RESULTS!E57/WEIGHTS!$C$22*WEIGHTS!$C$19+REDESIGN_RESULTS!F57/WEIGHTS!$D$22*WEIGHTS!$D$19+REDESIGN_RESULTS!G57/WEIGHTS!$E$22*WEIGHTS!$E$19</f>
        <v/>
      </c>
      <c r="D16" s="36">
        <f>REDESIGN_RESULTS!D58/WEIGHTS!$B$22*WEIGHTS!$B$19+REDESIGN_RESULTS!E58/WEIGHTS!$C$22*WEIGHTS!$C$19+REDESIGN_RESULTS!F58/WEIGHTS!$D$22*WEIGHTS!$D$19+REDESIGN_RESULTS!G58/WEIGHTS!$E$22*WEIGHTS!$E$19</f>
        <v/>
      </c>
      <c r="E16" s="36">
        <f>REDESIGN_RESULTS!D60/WEIGHTS!$B$22*WEIGHTS!$B$19+REDESIGN_RESULTS!E60/WEIGHTS!$C$22*WEIGHTS!$C$19+REDESIGN_RESULTS!F60/WEIGHTS!$D$22*WEIGHTS!$D$19+REDESIGN_RESULTS!G60/WEIGHTS!$E$22*WEIGHTS!$E$19</f>
        <v/>
      </c>
      <c r="F16" s="36">
        <f>MIN(B16:E16)</f>
        <v/>
      </c>
      <c r="G16" s="36">
        <f>B16-F16</f>
        <v/>
      </c>
      <c r="H16" s="36">
        <f>C16-F16</f>
        <v/>
      </c>
      <c r="I16" s="36">
        <f>D16-F16</f>
        <v/>
      </c>
      <c r="J16" s="36">
        <f>E16-F16</f>
        <v/>
      </c>
      <c r="K16" s="12">
        <f>INDEX($B$7:$E$7,1,MATCH(F16,B16:E16,0))</f>
        <v/>
      </c>
      <c r="L16" s="36">
        <f>H16</f>
        <v/>
      </c>
    </row>
    <row r="17" ht="24" customHeight="1">
      <c r="A17" s="31" t="inlineStr">
        <is>
          <t>D010</t>
        </is>
      </c>
      <c r="B17" s="36">
        <f>REDESIGN_RESULTS!D62/WEIGHTS!$B$22*WEIGHTS!$B$19+REDESIGN_RESULTS!E62/WEIGHTS!$C$22*WEIGHTS!$C$19+REDESIGN_RESULTS!F62/WEIGHTS!$D$22*WEIGHTS!$D$19+REDESIGN_RESULTS!G62/WEIGHTS!$E$22*WEIGHTS!$E$19</f>
        <v/>
      </c>
      <c r="C17" s="36">
        <f>REDESIGN_RESULTS!D63/WEIGHTS!$B$22*WEIGHTS!$B$19+REDESIGN_RESULTS!E63/WEIGHTS!$C$22*WEIGHTS!$C$19+REDESIGN_RESULTS!F63/WEIGHTS!$D$22*WEIGHTS!$D$19+REDESIGN_RESULTS!G63/WEIGHTS!$E$22*WEIGHTS!$E$19</f>
        <v/>
      </c>
      <c r="D17" s="36">
        <f>REDESIGN_RESULTS!D64/WEIGHTS!$B$22*WEIGHTS!$B$19+REDESIGN_RESULTS!E64/WEIGHTS!$C$22*WEIGHTS!$C$19+REDESIGN_RESULTS!F64/WEIGHTS!$D$22*WEIGHTS!$D$19+REDESIGN_RESULTS!G64/WEIGHTS!$E$22*WEIGHTS!$E$19</f>
        <v/>
      </c>
      <c r="E17" s="36">
        <f>REDESIGN_RESULTS!D66/WEIGHTS!$B$22*WEIGHTS!$B$19+REDESIGN_RESULTS!E66/WEIGHTS!$C$22*WEIGHTS!$C$19+REDESIGN_RESULTS!F66/WEIGHTS!$D$22*WEIGHTS!$D$19+REDESIGN_RESULTS!G66/WEIGHTS!$E$22*WEIGHTS!$E$19</f>
        <v/>
      </c>
      <c r="F17" s="36">
        <f>MIN(B17:E17)</f>
        <v/>
      </c>
      <c r="G17" s="36">
        <f>B17-F17</f>
        <v/>
      </c>
      <c r="H17" s="36">
        <f>C17-F17</f>
        <v/>
      </c>
      <c r="I17" s="36">
        <f>D17-F17</f>
        <v/>
      </c>
      <c r="J17" s="36">
        <f>E17-F17</f>
        <v/>
      </c>
      <c r="K17" s="12">
        <f>INDEX($B$7:$E$7,1,MATCH(F17,B17:E17,0))</f>
        <v/>
      </c>
      <c r="L17" s="36">
        <f>H17</f>
        <v/>
      </c>
    </row>
    <row r="18" ht="24" customHeight="1">
      <c r="A18" s="31" t="inlineStr">
        <is>
          <t>D011</t>
        </is>
      </c>
      <c r="B18" s="36">
        <f>REDESIGN_RESULTS!D68/WEIGHTS!$B$22*WEIGHTS!$B$19+REDESIGN_RESULTS!E68/WEIGHTS!$C$22*WEIGHTS!$C$19+REDESIGN_RESULTS!F68/WEIGHTS!$D$22*WEIGHTS!$D$19+REDESIGN_RESULTS!G68/WEIGHTS!$E$22*WEIGHTS!$E$19</f>
        <v/>
      </c>
      <c r="C18" s="36">
        <f>REDESIGN_RESULTS!D69/WEIGHTS!$B$22*WEIGHTS!$B$19+REDESIGN_RESULTS!E69/WEIGHTS!$C$22*WEIGHTS!$C$19+REDESIGN_RESULTS!F69/WEIGHTS!$D$22*WEIGHTS!$D$19+REDESIGN_RESULTS!G69/WEIGHTS!$E$22*WEIGHTS!$E$19</f>
        <v/>
      </c>
      <c r="D18" s="36">
        <f>REDESIGN_RESULTS!D70/WEIGHTS!$B$22*WEIGHTS!$B$19+REDESIGN_RESULTS!E70/WEIGHTS!$C$22*WEIGHTS!$C$19+REDESIGN_RESULTS!F70/WEIGHTS!$D$22*WEIGHTS!$D$19+REDESIGN_RESULTS!G70/WEIGHTS!$E$22*WEIGHTS!$E$19</f>
        <v/>
      </c>
      <c r="E18" s="36">
        <f>REDESIGN_RESULTS!D72/WEIGHTS!$B$22*WEIGHTS!$B$19+REDESIGN_RESULTS!E72/WEIGHTS!$C$22*WEIGHTS!$C$19+REDESIGN_RESULTS!F72/WEIGHTS!$D$22*WEIGHTS!$D$19+REDESIGN_RESULTS!G72/WEIGHTS!$E$22*WEIGHTS!$E$19</f>
        <v/>
      </c>
      <c r="F18" s="36">
        <f>MIN(B18:E18)</f>
        <v/>
      </c>
      <c r="G18" s="36">
        <f>B18-F18</f>
        <v/>
      </c>
      <c r="H18" s="36">
        <f>C18-F18</f>
        <v/>
      </c>
      <c r="I18" s="36">
        <f>D18-F18</f>
        <v/>
      </c>
      <c r="J18" s="36">
        <f>E18-F18</f>
        <v/>
      </c>
      <c r="K18" s="12">
        <f>INDEX($B$7:$E$7,1,MATCH(F18,B18:E18,0))</f>
        <v/>
      </c>
      <c r="L18" s="36">
        <f>H18</f>
        <v/>
      </c>
    </row>
    <row r="19" ht="24" customHeight="1">
      <c r="A19" s="31" t="inlineStr">
        <is>
          <t>D012</t>
        </is>
      </c>
      <c r="B19" s="36">
        <f>REDESIGN_RESULTS!D74/WEIGHTS!$B$22*WEIGHTS!$B$19+REDESIGN_RESULTS!E74/WEIGHTS!$C$22*WEIGHTS!$C$19+REDESIGN_RESULTS!F74/WEIGHTS!$D$22*WEIGHTS!$D$19+REDESIGN_RESULTS!G74/WEIGHTS!$E$22*WEIGHTS!$E$19</f>
        <v/>
      </c>
      <c r="C19" s="36">
        <f>REDESIGN_RESULTS!D75/WEIGHTS!$B$22*WEIGHTS!$B$19+REDESIGN_RESULTS!E75/WEIGHTS!$C$22*WEIGHTS!$C$19+REDESIGN_RESULTS!F75/WEIGHTS!$D$22*WEIGHTS!$D$19+REDESIGN_RESULTS!G75/WEIGHTS!$E$22*WEIGHTS!$E$19</f>
        <v/>
      </c>
      <c r="D19" s="36">
        <f>REDESIGN_RESULTS!D76/WEIGHTS!$B$22*WEIGHTS!$B$19+REDESIGN_RESULTS!E76/WEIGHTS!$C$22*WEIGHTS!$C$19+REDESIGN_RESULTS!F76/WEIGHTS!$D$22*WEIGHTS!$D$19+REDESIGN_RESULTS!G76/WEIGHTS!$E$22*WEIGHTS!$E$19</f>
        <v/>
      </c>
      <c r="E19" s="36">
        <f>REDESIGN_RESULTS!D78/WEIGHTS!$B$22*WEIGHTS!$B$19+REDESIGN_RESULTS!E78/WEIGHTS!$C$22*WEIGHTS!$C$19+REDESIGN_RESULTS!F78/WEIGHTS!$D$22*WEIGHTS!$D$19+REDESIGN_RESULTS!G78/WEIGHTS!$E$22*WEIGHTS!$E$19</f>
        <v/>
      </c>
      <c r="F19" s="36">
        <f>MIN(B19:E19)</f>
        <v/>
      </c>
      <c r="G19" s="36">
        <f>B19-F19</f>
        <v/>
      </c>
      <c r="H19" s="36">
        <f>C19-F19</f>
        <v/>
      </c>
      <c r="I19" s="36">
        <f>D19-F19</f>
        <v/>
      </c>
      <c r="J19" s="36">
        <f>E19-F19</f>
        <v/>
      </c>
      <c r="K19" s="12">
        <f>INDEX($B$7:$E$7,1,MATCH(F19,B19:E19,0))</f>
        <v/>
      </c>
      <c r="L19" s="36">
        <f>H19</f>
        <v/>
      </c>
    </row>
    <row r="20" ht="24" customHeight="1">
      <c r="A20" s="31" t="inlineStr">
        <is>
          <t>D013</t>
        </is>
      </c>
      <c r="B20" s="36">
        <f>REDESIGN_RESULTS!D80/WEIGHTS!$B$22*WEIGHTS!$B$19+REDESIGN_RESULTS!E80/WEIGHTS!$C$22*WEIGHTS!$C$19+REDESIGN_RESULTS!F80/WEIGHTS!$D$22*WEIGHTS!$D$19+REDESIGN_RESULTS!G80/WEIGHTS!$E$22*WEIGHTS!$E$19</f>
        <v/>
      </c>
      <c r="C20" s="36">
        <f>REDESIGN_RESULTS!D81/WEIGHTS!$B$22*WEIGHTS!$B$19+REDESIGN_RESULTS!E81/WEIGHTS!$C$22*WEIGHTS!$C$19+REDESIGN_RESULTS!F81/WEIGHTS!$D$22*WEIGHTS!$D$19+REDESIGN_RESULTS!G81/WEIGHTS!$E$22*WEIGHTS!$E$19</f>
        <v/>
      </c>
      <c r="D20" s="36">
        <f>REDESIGN_RESULTS!D82/WEIGHTS!$B$22*WEIGHTS!$B$19+REDESIGN_RESULTS!E82/WEIGHTS!$C$22*WEIGHTS!$C$19+REDESIGN_RESULTS!F82/WEIGHTS!$D$22*WEIGHTS!$D$19+REDESIGN_RESULTS!G82/WEIGHTS!$E$22*WEIGHTS!$E$19</f>
        <v/>
      </c>
      <c r="E20" s="36">
        <f>REDESIGN_RESULTS!D84/WEIGHTS!$B$22*WEIGHTS!$B$19+REDESIGN_RESULTS!E84/WEIGHTS!$C$22*WEIGHTS!$C$19+REDESIGN_RESULTS!F84/WEIGHTS!$D$22*WEIGHTS!$D$19+REDESIGN_RESULTS!G84/WEIGHTS!$E$22*WEIGHTS!$E$19</f>
        <v/>
      </c>
      <c r="F20" s="36">
        <f>MIN(B20:E20)</f>
        <v/>
      </c>
      <c r="G20" s="36">
        <f>B20-F20</f>
        <v/>
      </c>
      <c r="H20" s="36">
        <f>C20-F20</f>
        <v/>
      </c>
      <c r="I20" s="36">
        <f>D20-F20</f>
        <v/>
      </c>
      <c r="J20" s="36">
        <f>E20-F20</f>
        <v/>
      </c>
      <c r="K20" s="12">
        <f>INDEX($B$7:$E$7,1,MATCH(F20,B20:E20,0))</f>
        <v/>
      </c>
      <c r="L20" s="36">
        <f>H20</f>
        <v/>
      </c>
    </row>
    <row r="21" ht="24" customHeight="1">
      <c r="A21" s="31" t="inlineStr">
        <is>
          <t>D014</t>
        </is>
      </c>
      <c r="B21" s="36">
        <f>REDESIGN_RESULTS!D86/WEIGHTS!$B$22*WEIGHTS!$B$19+REDESIGN_RESULTS!E86/WEIGHTS!$C$22*WEIGHTS!$C$19+REDESIGN_RESULTS!F86/WEIGHTS!$D$22*WEIGHTS!$D$19+REDESIGN_RESULTS!G86/WEIGHTS!$E$22*WEIGHTS!$E$19</f>
        <v/>
      </c>
      <c r="C21" s="36">
        <f>REDESIGN_RESULTS!D87/WEIGHTS!$B$22*WEIGHTS!$B$19+REDESIGN_RESULTS!E87/WEIGHTS!$C$22*WEIGHTS!$C$19+REDESIGN_RESULTS!F87/WEIGHTS!$D$22*WEIGHTS!$D$19+REDESIGN_RESULTS!G87/WEIGHTS!$E$22*WEIGHTS!$E$19</f>
        <v/>
      </c>
      <c r="D21" s="36">
        <f>REDESIGN_RESULTS!D88/WEIGHTS!$B$22*WEIGHTS!$B$19+REDESIGN_RESULTS!E88/WEIGHTS!$C$22*WEIGHTS!$C$19+REDESIGN_RESULTS!F88/WEIGHTS!$D$22*WEIGHTS!$D$19+REDESIGN_RESULTS!G88/WEIGHTS!$E$22*WEIGHTS!$E$19</f>
        <v/>
      </c>
      <c r="E21" s="36">
        <f>REDESIGN_RESULTS!D90/WEIGHTS!$B$22*WEIGHTS!$B$19+REDESIGN_RESULTS!E90/WEIGHTS!$C$22*WEIGHTS!$C$19+REDESIGN_RESULTS!F90/WEIGHTS!$D$22*WEIGHTS!$D$19+REDESIGN_RESULTS!G90/WEIGHTS!$E$22*WEIGHTS!$E$19</f>
        <v/>
      </c>
      <c r="F21" s="36">
        <f>MIN(B21:E21)</f>
        <v/>
      </c>
      <c r="G21" s="36">
        <f>B21-F21</f>
        <v/>
      </c>
      <c r="H21" s="36">
        <f>C21-F21</f>
        <v/>
      </c>
      <c r="I21" s="36">
        <f>D21-F21</f>
        <v/>
      </c>
      <c r="J21" s="36">
        <f>E21-F21</f>
        <v/>
      </c>
      <c r="K21" s="12">
        <f>INDEX($B$7:$E$7,1,MATCH(F21,B21:E21,0))</f>
        <v/>
      </c>
      <c r="L21" s="36">
        <f>H21</f>
        <v/>
      </c>
    </row>
    <row r="22" ht="24" customHeight="1">
      <c r="A22" s="31" t="inlineStr">
        <is>
          <t>D015</t>
        </is>
      </c>
      <c r="B22" s="36">
        <f>REDESIGN_RESULTS!D92/WEIGHTS!$B$22*WEIGHTS!$B$19+REDESIGN_RESULTS!E92/WEIGHTS!$C$22*WEIGHTS!$C$19+REDESIGN_RESULTS!F92/WEIGHTS!$D$22*WEIGHTS!$D$19+REDESIGN_RESULTS!G92/WEIGHTS!$E$22*WEIGHTS!$E$19</f>
        <v/>
      </c>
      <c r="C22" s="36">
        <f>REDESIGN_RESULTS!D93/WEIGHTS!$B$22*WEIGHTS!$B$19+REDESIGN_RESULTS!E93/WEIGHTS!$C$22*WEIGHTS!$C$19+REDESIGN_RESULTS!F93/WEIGHTS!$D$22*WEIGHTS!$D$19+REDESIGN_RESULTS!G93/WEIGHTS!$E$22*WEIGHTS!$E$19</f>
        <v/>
      </c>
      <c r="D22" s="36">
        <f>REDESIGN_RESULTS!D94/WEIGHTS!$B$22*WEIGHTS!$B$19+REDESIGN_RESULTS!E94/WEIGHTS!$C$22*WEIGHTS!$C$19+REDESIGN_RESULTS!F94/WEIGHTS!$D$22*WEIGHTS!$D$19+REDESIGN_RESULTS!G94/WEIGHTS!$E$22*WEIGHTS!$E$19</f>
        <v/>
      </c>
      <c r="E22" s="36">
        <f>REDESIGN_RESULTS!D96/WEIGHTS!$B$22*WEIGHTS!$B$19+REDESIGN_RESULTS!E96/WEIGHTS!$C$22*WEIGHTS!$C$19+REDESIGN_RESULTS!F96/WEIGHTS!$D$22*WEIGHTS!$D$19+REDESIGN_RESULTS!G96/WEIGHTS!$E$22*WEIGHTS!$E$19</f>
        <v/>
      </c>
      <c r="F22" s="36">
        <f>MIN(B22:E22)</f>
        <v/>
      </c>
      <c r="G22" s="36">
        <f>B22-F22</f>
        <v/>
      </c>
      <c r="H22" s="36">
        <f>C22-F22</f>
        <v/>
      </c>
      <c r="I22" s="36">
        <f>D22-F22</f>
        <v/>
      </c>
      <c r="J22" s="36">
        <f>E22-F22</f>
        <v/>
      </c>
      <c r="K22" s="12">
        <f>INDEX($B$7:$E$7,1,MATCH(F22,B22:E22,0))</f>
        <v/>
      </c>
      <c r="L22" s="36">
        <f>H22</f>
        <v/>
      </c>
    </row>
    <row r="23" ht="24" customHeight="1">
      <c r="A23" s="31" t="inlineStr">
        <is>
          <t>D016</t>
        </is>
      </c>
      <c r="B23" s="36">
        <f>REDESIGN_RESULTS!D98/WEIGHTS!$B$22*WEIGHTS!$B$19+REDESIGN_RESULTS!E98/WEIGHTS!$C$22*WEIGHTS!$C$19+REDESIGN_RESULTS!F98/WEIGHTS!$D$22*WEIGHTS!$D$19+REDESIGN_RESULTS!G98/WEIGHTS!$E$22*WEIGHTS!$E$19</f>
        <v/>
      </c>
      <c r="C23" s="36">
        <f>REDESIGN_RESULTS!D99/WEIGHTS!$B$22*WEIGHTS!$B$19+REDESIGN_RESULTS!E99/WEIGHTS!$C$22*WEIGHTS!$C$19+REDESIGN_RESULTS!F99/WEIGHTS!$D$22*WEIGHTS!$D$19+REDESIGN_RESULTS!G99/WEIGHTS!$E$22*WEIGHTS!$E$19</f>
        <v/>
      </c>
      <c r="D23" s="36">
        <f>REDESIGN_RESULTS!D100/WEIGHTS!$B$22*WEIGHTS!$B$19+REDESIGN_RESULTS!E100/WEIGHTS!$C$22*WEIGHTS!$C$19+REDESIGN_RESULTS!F100/WEIGHTS!$D$22*WEIGHTS!$D$19+REDESIGN_RESULTS!G100/WEIGHTS!$E$22*WEIGHTS!$E$19</f>
        <v/>
      </c>
      <c r="E23" s="36">
        <f>REDESIGN_RESULTS!D102/WEIGHTS!$B$22*WEIGHTS!$B$19+REDESIGN_RESULTS!E102/WEIGHTS!$C$22*WEIGHTS!$C$19+REDESIGN_RESULTS!F102/WEIGHTS!$D$22*WEIGHTS!$D$19+REDESIGN_RESULTS!G102/WEIGHTS!$E$22*WEIGHTS!$E$19</f>
        <v/>
      </c>
      <c r="F23" s="36">
        <f>MIN(B23:E23)</f>
        <v/>
      </c>
      <c r="G23" s="36">
        <f>B23-F23</f>
        <v/>
      </c>
      <c r="H23" s="36">
        <f>C23-F23</f>
        <v/>
      </c>
      <c r="I23" s="36">
        <f>D23-F23</f>
        <v/>
      </c>
      <c r="J23" s="36">
        <f>E23-F23</f>
        <v/>
      </c>
      <c r="K23" s="12">
        <f>INDEX($B$7:$E$7,1,MATCH(F23,B23:E23,0))</f>
        <v/>
      </c>
      <c r="L23" s="36">
        <f>H23</f>
        <v/>
      </c>
    </row>
    <row r="24" ht="24" customHeight="1">
      <c r="A24" s="31" t="inlineStr">
        <is>
          <t>D017</t>
        </is>
      </c>
      <c r="B24" s="36">
        <f>REDESIGN_RESULTS!D104/WEIGHTS!$B$22*WEIGHTS!$B$19+REDESIGN_RESULTS!E104/WEIGHTS!$C$22*WEIGHTS!$C$19+REDESIGN_RESULTS!F104/WEIGHTS!$D$22*WEIGHTS!$D$19+REDESIGN_RESULTS!G104/WEIGHTS!$E$22*WEIGHTS!$E$19</f>
        <v/>
      </c>
      <c r="C24" s="36">
        <f>REDESIGN_RESULTS!D105/WEIGHTS!$B$22*WEIGHTS!$B$19+REDESIGN_RESULTS!E105/WEIGHTS!$C$22*WEIGHTS!$C$19+REDESIGN_RESULTS!F105/WEIGHTS!$D$22*WEIGHTS!$D$19+REDESIGN_RESULTS!G105/WEIGHTS!$E$22*WEIGHTS!$E$19</f>
        <v/>
      </c>
      <c r="D24" s="36">
        <f>REDESIGN_RESULTS!D106/WEIGHTS!$B$22*WEIGHTS!$B$19+REDESIGN_RESULTS!E106/WEIGHTS!$C$22*WEIGHTS!$C$19+REDESIGN_RESULTS!F106/WEIGHTS!$D$22*WEIGHTS!$D$19+REDESIGN_RESULTS!G106/WEIGHTS!$E$22*WEIGHTS!$E$19</f>
        <v/>
      </c>
      <c r="E24" s="36">
        <f>REDESIGN_RESULTS!D108/WEIGHTS!$B$22*WEIGHTS!$B$19+REDESIGN_RESULTS!E108/WEIGHTS!$C$22*WEIGHTS!$C$19+REDESIGN_RESULTS!F108/WEIGHTS!$D$22*WEIGHTS!$D$19+REDESIGN_RESULTS!G108/WEIGHTS!$E$22*WEIGHTS!$E$19</f>
        <v/>
      </c>
      <c r="F24" s="36">
        <f>MIN(B24:E24)</f>
        <v/>
      </c>
      <c r="G24" s="36">
        <f>B24-F24</f>
        <v/>
      </c>
      <c r="H24" s="36">
        <f>C24-F24</f>
        <v/>
      </c>
      <c r="I24" s="36">
        <f>D24-F24</f>
        <v/>
      </c>
      <c r="J24" s="36">
        <f>E24-F24</f>
        <v/>
      </c>
      <c r="K24" s="12">
        <f>INDEX($B$7:$E$7,1,MATCH(F24,B24:E24,0))</f>
        <v/>
      </c>
      <c r="L24" s="36">
        <f>H24</f>
        <v/>
      </c>
    </row>
    <row r="25" ht="24" customHeight="1">
      <c r="A25" s="31" t="inlineStr">
        <is>
          <t>D018</t>
        </is>
      </c>
      <c r="B25" s="36">
        <f>REDESIGN_RESULTS!D110/WEIGHTS!$B$22*WEIGHTS!$B$19+REDESIGN_RESULTS!E110/WEIGHTS!$C$22*WEIGHTS!$C$19+REDESIGN_RESULTS!F110/WEIGHTS!$D$22*WEIGHTS!$D$19+REDESIGN_RESULTS!G110/WEIGHTS!$E$22*WEIGHTS!$E$19</f>
        <v/>
      </c>
      <c r="C25" s="36">
        <f>REDESIGN_RESULTS!D111/WEIGHTS!$B$22*WEIGHTS!$B$19+REDESIGN_RESULTS!E111/WEIGHTS!$C$22*WEIGHTS!$C$19+REDESIGN_RESULTS!F111/WEIGHTS!$D$22*WEIGHTS!$D$19+REDESIGN_RESULTS!G111/WEIGHTS!$E$22*WEIGHTS!$E$19</f>
        <v/>
      </c>
      <c r="D25" s="36">
        <f>REDESIGN_RESULTS!D112/WEIGHTS!$B$22*WEIGHTS!$B$19+REDESIGN_RESULTS!E112/WEIGHTS!$C$22*WEIGHTS!$C$19+REDESIGN_RESULTS!F112/WEIGHTS!$D$22*WEIGHTS!$D$19+REDESIGN_RESULTS!G112/WEIGHTS!$E$22*WEIGHTS!$E$19</f>
        <v/>
      </c>
      <c r="E25" s="36">
        <f>REDESIGN_RESULTS!D114/WEIGHTS!$B$22*WEIGHTS!$B$19+REDESIGN_RESULTS!E114/WEIGHTS!$C$22*WEIGHTS!$C$19+REDESIGN_RESULTS!F114/WEIGHTS!$D$22*WEIGHTS!$D$19+REDESIGN_RESULTS!G114/WEIGHTS!$E$22*WEIGHTS!$E$19</f>
        <v/>
      </c>
      <c r="F25" s="36">
        <f>MIN(B25:E25)</f>
        <v/>
      </c>
      <c r="G25" s="36">
        <f>B25-F25</f>
        <v/>
      </c>
      <c r="H25" s="36">
        <f>C25-F25</f>
        <v/>
      </c>
      <c r="I25" s="36">
        <f>D25-F25</f>
        <v/>
      </c>
      <c r="J25" s="36">
        <f>E25-F25</f>
        <v/>
      </c>
      <c r="K25" s="12">
        <f>INDEX($B$7:$E$7,1,MATCH(F25,B25:E25,0))</f>
        <v/>
      </c>
      <c r="L25" s="36">
        <f>H25</f>
        <v/>
      </c>
    </row>
    <row r="26" ht="24" customHeight="1">
      <c r="A26" s="31" t="inlineStr">
        <is>
          <t>D019</t>
        </is>
      </c>
      <c r="B26" s="36">
        <f>REDESIGN_RESULTS!D116/WEIGHTS!$B$22*WEIGHTS!$B$19+REDESIGN_RESULTS!E116/WEIGHTS!$C$22*WEIGHTS!$C$19+REDESIGN_RESULTS!F116/WEIGHTS!$D$22*WEIGHTS!$D$19+REDESIGN_RESULTS!G116/WEIGHTS!$E$22*WEIGHTS!$E$19</f>
        <v/>
      </c>
      <c r="C26" s="36">
        <f>REDESIGN_RESULTS!D117/WEIGHTS!$B$22*WEIGHTS!$B$19+REDESIGN_RESULTS!E117/WEIGHTS!$C$22*WEIGHTS!$C$19+REDESIGN_RESULTS!F117/WEIGHTS!$D$22*WEIGHTS!$D$19+REDESIGN_RESULTS!G117/WEIGHTS!$E$22*WEIGHTS!$E$19</f>
        <v/>
      </c>
      <c r="D26" s="36">
        <f>REDESIGN_RESULTS!D118/WEIGHTS!$B$22*WEIGHTS!$B$19+REDESIGN_RESULTS!E118/WEIGHTS!$C$22*WEIGHTS!$C$19+REDESIGN_RESULTS!F118/WEIGHTS!$D$22*WEIGHTS!$D$19+REDESIGN_RESULTS!G118/WEIGHTS!$E$22*WEIGHTS!$E$19</f>
        <v/>
      </c>
      <c r="E26" s="36">
        <f>REDESIGN_RESULTS!D120/WEIGHTS!$B$22*WEIGHTS!$B$19+REDESIGN_RESULTS!E120/WEIGHTS!$C$22*WEIGHTS!$C$19+REDESIGN_RESULTS!F120/WEIGHTS!$D$22*WEIGHTS!$D$19+REDESIGN_RESULTS!G120/WEIGHTS!$E$22*WEIGHTS!$E$19</f>
        <v/>
      </c>
      <c r="F26" s="36">
        <f>MIN(B26:E26)</f>
        <v/>
      </c>
      <c r="G26" s="36">
        <f>B26-F26</f>
        <v/>
      </c>
      <c r="H26" s="36">
        <f>C26-F26</f>
        <v/>
      </c>
      <c r="I26" s="36">
        <f>D26-F26</f>
        <v/>
      </c>
      <c r="J26" s="36">
        <f>E26-F26</f>
        <v/>
      </c>
      <c r="K26" s="12">
        <f>INDEX($B$7:$E$7,1,MATCH(F26,B26:E26,0))</f>
        <v/>
      </c>
      <c r="L26" s="36">
        <f>H26</f>
        <v/>
      </c>
    </row>
    <row r="27" ht="24" customHeight="1">
      <c r="A27" s="31" t="inlineStr">
        <is>
          <t>D020</t>
        </is>
      </c>
      <c r="B27" s="36">
        <f>REDESIGN_RESULTS!D122/WEIGHTS!$B$22*WEIGHTS!$B$19+REDESIGN_RESULTS!E122/WEIGHTS!$C$22*WEIGHTS!$C$19+REDESIGN_RESULTS!F122/WEIGHTS!$D$22*WEIGHTS!$D$19+REDESIGN_RESULTS!G122/WEIGHTS!$E$22*WEIGHTS!$E$19</f>
        <v/>
      </c>
      <c r="C27" s="36">
        <f>REDESIGN_RESULTS!D123/WEIGHTS!$B$22*WEIGHTS!$B$19+REDESIGN_RESULTS!E123/WEIGHTS!$C$22*WEIGHTS!$C$19+REDESIGN_RESULTS!F123/WEIGHTS!$D$22*WEIGHTS!$D$19+REDESIGN_RESULTS!G123/WEIGHTS!$E$22*WEIGHTS!$E$19</f>
        <v/>
      </c>
      <c r="D27" s="36">
        <f>REDESIGN_RESULTS!D124/WEIGHTS!$B$22*WEIGHTS!$B$19+REDESIGN_RESULTS!E124/WEIGHTS!$C$22*WEIGHTS!$C$19+REDESIGN_RESULTS!F124/WEIGHTS!$D$22*WEIGHTS!$D$19+REDESIGN_RESULTS!G124/WEIGHTS!$E$22*WEIGHTS!$E$19</f>
        <v/>
      </c>
      <c r="E27" s="36">
        <f>REDESIGN_RESULTS!D126/WEIGHTS!$B$22*WEIGHTS!$B$19+REDESIGN_RESULTS!E126/WEIGHTS!$C$22*WEIGHTS!$C$19+REDESIGN_RESULTS!F126/WEIGHTS!$D$22*WEIGHTS!$D$19+REDESIGN_RESULTS!G126/WEIGHTS!$E$22*WEIGHTS!$E$19</f>
        <v/>
      </c>
      <c r="F27" s="36">
        <f>MIN(B27:E27)</f>
        <v/>
      </c>
      <c r="G27" s="36">
        <f>B27-F27</f>
        <v/>
      </c>
      <c r="H27" s="36">
        <f>C27-F27</f>
        <v/>
      </c>
      <c r="I27" s="36">
        <f>D27-F27</f>
        <v/>
      </c>
      <c r="J27" s="36">
        <f>E27-F27</f>
        <v/>
      </c>
      <c r="K27" s="12">
        <f>INDEX($B$7:$E$7,1,MATCH(F27,B27:E27,0))</f>
        <v/>
      </c>
      <c r="L27" s="36">
        <f>H27</f>
        <v/>
      </c>
    </row>
    <row r="28" ht="24" customHeight="1">
      <c r="A28" s="31" t="inlineStr">
        <is>
          <t>D021</t>
        </is>
      </c>
      <c r="B28" s="36">
        <f>REDESIGN_RESULTS!D128/WEIGHTS!$B$22*WEIGHTS!$B$19+REDESIGN_RESULTS!E128/WEIGHTS!$C$22*WEIGHTS!$C$19+REDESIGN_RESULTS!F128/WEIGHTS!$D$22*WEIGHTS!$D$19+REDESIGN_RESULTS!G128/WEIGHTS!$E$22*WEIGHTS!$E$19</f>
        <v/>
      </c>
      <c r="C28" s="36">
        <f>REDESIGN_RESULTS!D129/WEIGHTS!$B$22*WEIGHTS!$B$19+REDESIGN_RESULTS!E129/WEIGHTS!$C$22*WEIGHTS!$C$19+REDESIGN_RESULTS!F129/WEIGHTS!$D$22*WEIGHTS!$D$19+REDESIGN_RESULTS!G129/WEIGHTS!$E$22*WEIGHTS!$E$19</f>
        <v/>
      </c>
      <c r="D28" s="36">
        <f>REDESIGN_RESULTS!D130/WEIGHTS!$B$22*WEIGHTS!$B$19+REDESIGN_RESULTS!E130/WEIGHTS!$C$22*WEIGHTS!$C$19+REDESIGN_RESULTS!F130/WEIGHTS!$D$22*WEIGHTS!$D$19+REDESIGN_RESULTS!G130/WEIGHTS!$E$22*WEIGHTS!$E$19</f>
        <v/>
      </c>
      <c r="E28" s="36">
        <f>REDESIGN_RESULTS!D132/WEIGHTS!$B$22*WEIGHTS!$B$19+REDESIGN_RESULTS!E132/WEIGHTS!$C$22*WEIGHTS!$C$19+REDESIGN_RESULTS!F132/WEIGHTS!$D$22*WEIGHTS!$D$19+REDESIGN_RESULTS!G132/WEIGHTS!$E$22*WEIGHTS!$E$19</f>
        <v/>
      </c>
      <c r="F28" s="36">
        <f>MIN(B28:E28)</f>
        <v/>
      </c>
      <c r="G28" s="36">
        <f>B28-F28</f>
        <v/>
      </c>
      <c r="H28" s="36">
        <f>C28-F28</f>
        <v/>
      </c>
      <c r="I28" s="36">
        <f>D28-F28</f>
        <v/>
      </c>
      <c r="J28" s="36">
        <f>E28-F28</f>
        <v/>
      </c>
      <c r="K28" s="12">
        <f>INDEX($B$7:$E$7,1,MATCH(F28,B28:E28,0))</f>
        <v/>
      </c>
      <c r="L28" s="36">
        <f>H28</f>
        <v/>
      </c>
    </row>
    <row r="29" ht="24" customHeight="1">
      <c r="A29" s="31" t="inlineStr">
        <is>
          <t>D022</t>
        </is>
      </c>
      <c r="B29" s="36">
        <f>REDESIGN_RESULTS!D134/WEIGHTS!$B$22*WEIGHTS!$B$19+REDESIGN_RESULTS!E134/WEIGHTS!$C$22*WEIGHTS!$C$19+REDESIGN_RESULTS!F134/WEIGHTS!$D$22*WEIGHTS!$D$19+REDESIGN_RESULTS!G134/WEIGHTS!$E$22*WEIGHTS!$E$19</f>
        <v/>
      </c>
      <c r="C29" s="36">
        <f>REDESIGN_RESULTS!D135/WEIGHTS!$B$22*WEIGHTS!$B$19+REDESIGN_RESULTS!E135/WEIGHTS!$C$22*WEIGHTS!$C$19+REDESIGN_RESULTS!F135/WEIGHTS!$D$22*WEIGHTS!$D$19+REDESIGN_RESULTS!G135/WEIGHTS!$E$22*WEIGHTS!$E$19</f>
        <v/>
      </c>
      <c r="D29" s="36">
        <f>REDESIGN_RESULTS!D136/WEIGHTS!$B$22*WEIGHTS!$B$19+REDESIGN_RESULTS!E136/WEIGHTS!$C$22*WEIGHTS!$C$19+REDESIGN_RESULTS!F136/WEIGHTS!$D$22*WEIGHTS!$D$19+REDESIGN_RESULTS!G136/WEIGHTS!$E$22*WEIGHTS!$E$19</f>
        <v/>
      </c>
      <c r="E29" s="36">
        <f>REDESIGN_RESULTS!D138/WEIGHTS!$B$22*WEIGHTS!$B$19+REDESIGN_RESULTS!E138/WEIGHTS!$C$22*WEIGHTS!$C$19+REDESIGN_RESULTS!F138/WEIGHTS!$D$22*WEIGHTS!$D$19+REDESIGN_RESULTS!G138/WEIGHTS!$E$22*WEIGHTS!$E$19</f>
        <v/>
      </c>
      <c r="F29" s="36">
        <f>MIN(B29:E29)</f>
        <v/>
      </c>
      <c r="G29" s="36">
        <f>B29-F29</f>
        <v/>
      </c>
      <c r="H29" s="36">
        <f>C29-F29</f>
        <v/>
      </c>
      <c r="I29" s="36">
        <f>D29-F29</f>
        <v/>
      </c>
      <c r="J29" s="36">
        <f>E29-F29</f>
        <v/>
      </c>
      <c r="K29" s="12">
        <f>INDEX($B$7:$E$7,1,MATCH(F29,B29:E29,0))</f>
        <v/>
      </c>
      <c r="L29" s="36">
        <f>H29</f>
        <v/>
      </c>
    </row>
    <row r="30" ht="24" customHeight="1">
      <c r="A30" s="31" t="inlineStr">
        <is>
          <t>D023</t>
        </is>
      </c>
      <c r="B30" s="36">
        <f>REDESIGN_RESULTS!D140/WEIGHTS!$B$22*WEIGHTS!$B$19+REDESIGN_RESULTS!E140/WEIGHTS!$C$22*WEIGHTS!$C$19+REDESIGN_RESULTS!F140/WEIGHTS!$D$22*WEIGHTS!$D$19+REDESIGN_RESULTS!G140/WEIGHTS!$E$22*WEIGHTS!$E$19</f>
        <v/>
      </c>
      <c r="C30" s="36">
        <f>REDESIGN_RESULTS!D141/WEIGHTS!$B$22*WEIGHTS!$B$19+REDESIGN_RESULTS!E141/WEIGHTS!$C$22*WEIGHTS!$C$19+REDESIGN_RESULTS!F141/WEIGHTS!$D$22*WEIGHTS!$D$19+REDESIGN_RESULTS!G141/WEIGHTS!$E$22*WEIGHTS!$E$19</f>
        <v/>
      </c>
      <c r="D30" s="36">
        <f>REDESIGN_RESULTS!D142/WEIGHTS!$B$22*WEIGHTS!$B$19+REDESIGN_RESULTS!E142/WEIGHTS!$C$22*WEIGHTS!$C$19+REDESIGN_RESULTS!F142/WEIGHTS!$D$22*WEIGHTS!$D$19+REDESIGN_RESULTS!G142/WEIGHTS!$E$22*WEIGHTS!$E$19</f>
        <v/>
      </c>
      <c r="E30" s="36">
        <f>REDESIGN_RESULTS!D144/WEIGHTS!$B$22*WEIGHTS!$B$19+REDESIGN_RESULTS!E144/WEIGHTS!$C$22*WEIGHTS!$C$19+REDESIGN_RESULTS!F144/WEIGHTS!$D$22*WEIGHTS!$D$19+REDESIGN_RESULTS!G144/WEIGHTS!$E$22*WEIGHTS!$E$19</f>
        <v/>
      </c>
      <c r="F30" s="36">
        <f>MIN(B30:E30)</f>
        <v/>
      </c>
      <c r="G30" s="36">
        <f>B30-F30</f>
        <v/>
      </c>
      <c r="H30" s="36">
        <f>C30-F30</f>
        <v/>
      </c>
      <c r="I30" s="36">
        <f>D30-F30</f>
        <v/>
      </c>
      <c r="J30" s="36">
        <f>E30-F30</f>
        <v/>
      </c>
      <c r="K30" s="12">
        <f>INDEX($B$7:$E$7,1,MATCH(F30,B30:E30,0))</f>
        <v/>
      </c>
      <c r="L30" s="36">
        <f>H30</f>
        <v/>
      </c>
    </row>
    <row r="31" ht="24" customHeight="1">
      <c r="A31" s="31" t="inlineStr">
        <is>
          <t>D024</t>
        </is>
      </c>
      <c r="B31" s="36">
        <f>REDESIGN_RESULTS!D146/WEIGHTS!$B$22*WEIGHTS!$B$19+REDESIGN_RESULTS!E146/WEIGHTS!$C$22*WEIGHTS!$C$19+REDESIGN_RESULTS!F146/WEIGHTS!$D$22*WEIGHTS!$D$19+REDESIGN_RESULTS!G146/WEIGHTS!$E$22*WEIGHTS!$E$19</f>
        <v/>
      </c>
      <c r="C31" s="36">
        <f>REDESIGN_RESULTS!D147/WEIGHTS!$B$22*WEIGHTS!$B$19+REDESIGN_RESULTS!E147/WEIGHTS!$C$22*WEIGHTS!$C$19+REDESIGN_RESULTS!F147/WEIGHTS!$D$22*WEIGHTS!$D$19+REDESIGN_RESULTS!G147/WEIGHTS!$E$22*WEIGHTS!$E$19</f>
        <v/>
      </c>
      <c r="D31" s="36">
        <f>REDESIGN_RESULTS!D148/WEIGHTS!$B$22*WEIGHTS!$B$19+REDESIGN_RESULTS!E148/WEIGHTS!$C$22*WEIGHTS!$C$19+REDESIGN_RESULTS!F148/WEIGHTS!$D$22*WEIGHTS!$D$19+REDESIGN_RESULTS!G148/WEIGHTS!$E$22*WEIGHTS!$E$19</f>
        <v/>
      </c>
      <c r="E31" s="36">
        <f>REDESIGN_RESULTS!D150/WEIGHTS!$B$22*WEIGHTS!$B$19+REDESIGN_RESULTS!E150/WEIGHTS!$C$22*WEIGHTS!$C$19+REDESIGN_RESULTS!F150/WEIGHTS!$D$22*WEIGHTS!$D$19+REDESIGN_RESULTS!G150/WEIGHTS!$E$22*WEIGHTS!$E$19</f>
        <v/>
      </c>
      <c r="F31" s="36">
        <f>MIN(B31:E31)</f>
        <v/>
      </c>
      <c r="G31" s="36">
        <f>B31-F31</f>
        <v/>
      </c>
      <c r="H31" s="36">
        <f>C31-F31</f>
        <v/>
      </c>
      <c r="I31" s="36">
        <f>D31-F31</f>
        <v/>
      </c>
      <c r="J31" s="36">
        <f>E31-F31</f>
        <v/>
      </c>
      <c r="K31" s="12">
        <f>INDEX($B$7:$E$7,1,MATCH(F31,B31:E31,0))</f>
        <v/>
      </c>
      <c r="L31" s="36">
        <f>H31</f>
        <v/>
      </c>
    </row>
    <row r="32" ht="24" customHeight="1">
      <c r="A32" s="31" t="n"/>
      <c r="B32" s="31" t="n"/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</row>
    <row r="33" ht="24" customHeight="1">
      <c r="A33" s="31" t="n"/>
      <c r="B33" s="31" t="n"/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</row>
    <row r="34" ht="24" customHeight="1">
      <c r="A34" s="31" t="n"/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</row>
    <row r="35" ht="38" customHeight="1">
      <c r="A35" s="7" t="inlineStr">
        <is>
          <t>Policy</t>
        </is>
      </c>
      <c r="B35" s="7" t="inlineStr">
        <is>
          <t>Mean cost</t>
        </is>
      </c>
      <c r="C35" s="7" t="inlineStr">
        <is>
          <t>Mean regret</t>
        </is>
      </c>
      <c r="D35" s="7" t="inlineStr">
        <is>
          <t>Maximum regret</t>
        </is>
      </c>
      <c r="E35" s="7" t="inlineStr">
        <is>
          <t>Near-best fraction</t>
        </is>
      </c>
      <c r="F35" s="7" t="inlineStr">
        <is>
          <t>Wins</t>
        </is>
      </c>
      <c r="G35" s="31" t="n"/>
      <c r="H35" s="31" t="n"/>
      <c r="I35" s="31" t="n"/>
      <c r="J35" s="31" t="n"/>
      <c r="K35" s="31" t="n"/>
      <c r="L35" s="31" t="n"/>
    </row>
    <row r="36" ht="24" customHeight="1">
      <c r="A36" s="31" t="inlineStr">
        <is>
          <t>SP</t>
        </is>
      </c>
      <c r="B36" s="36">
        <f>AVERAGE(B8:B31)</f>
        <v/>
      </c>
      <c r="C36" s="36">
        <f>AVERAGE(G8:G31)</f>
        <v/>
      </c>
      <c r="D36" s="36">
        <f>MAX(G8:G31)</f>
        <v/>
      </c>
      <c r="E36" s="36">
        <f>COUNTIF(G8:G31,"&lt;="&amp;WEIGHTS!$B$27)/24</f>
        <v/>
      </c>
      <c r="F36" s="12">
        <f>COUNTIF(K8:K31,A36&amp;" cost")</f>
        <v/>
      </c>
      <c r="G36" s="31" t="n"/>
      <c r="H36" s="31" t="n"/>
      <c r="I36" s="31" t="n"/>
      <c r="J36" s="31" t="n"/>
      <c r="K36" s="31" t="n"/>
      <c r="L36" s="31" t="n"/>
    </row>
    <row r="37" ht="24" customHeight="1">
      <c r="A37" s="31" t="inlineStr">
        <is>
          <t>DTT</t>
        </is>
      </c>
      <c r="B37" s="36">
        <f>AVERAGE(C8:C31)</f>
        <v/>
      </c>
      <c r="C37" s="36">
        <f>AVERAGE(H8:H31)</f>
        <v/>
      </c>
      <c r="D37" s="36">
        <f>MAX(H8:H31)</f>
        <v/>
      </c>
      <c r="E37" s="36">
        <f>COUNTIF(H8:H31,"&lt;="&amp;WEIGHTS!$B$27)/24</f>
        <v/>
      </c>
      <c r="F37" s="12">
        <f>COUNTIF(K8:K31,A37&amp;" cost")</f>
        <v/>
      </c>
      <c r="G37" s="31" t="n"/>
      <c r="H37" s="31" t="n"/>
      <c r="I37" s="31" t="n"/>
      <c r="J37" s="31" t="n"/>
      <c r="K37" s="31" t="n"/>
      <c r="L37" s="31" t="n"/>
    </row>
    <row r="38" ht="24" customHeight="1">
      <c r="A38" s="31" t="inlineStr">
        <is>
          <t>ECO</t>
        </is>
      </c>
      <c r="B38" s="36">
        <f>AVERAGE(D8:D31)</f>
        <v/>
      </c>
      <c r="C38" s="36">
        <f>AVERAGE(I8:I31)</f>
        <v/>
      </c>
      <c r="D38" s="36">
        <f>MAX(I8:I31)</f>
        <v/>
      </c>
      <c r="E38" s="36">
        <f>COUNTIF(I8:I31,"&lt;="&amp;WEIGHTS!$B$27)/24</f>
        <v/>
      </c>
      <c r="F38" s="12">
        <f>COUNTIF(K8:K31,A38&amp;" cost")</f>
        <v/>
      </c>
      <c r="G38" s="31" t="n"/>
      <c r="H38" s="31" t="n"/>
      <c r="I38" s="31" t="n"/>
      <c r="J38" s="31" t="n"/>
      <c r="K38" s="31" t="n"/>
      <c r="L38" s="31" t="n"/>
    </row>
    <row r="39" ht="24" customHeight="1">
      <c r="A39" s="31" t="inlineStr">
        <is>
          <t>TECO10</t>
        </is>
      </c>
      <c r="B39" s="36">
        <f>AVERAGE(E8:E31)</f>
        <v/>
      </c>
      <c r="C39" s="36">
        <f>AVERAGE(J8:J31)</f>
        <v/>
      </c>
      <c r="D39" s="36">
        <f>MAX(J8:J31)</f>
        <v/>
      </c>
      <c r="E39" s="36">
        <f>COUNTIF(J8:J31,"&lt;="&amp;WEIGHTS!$B$27)/24</f>
        <v/>
      </c>
      <c r="F39" s="12">
        <f>COUNTIF(K8:K31,A39&amp;" cost")</f>
        <v/>
      </c>
      <c r="G39" s="31" t="n"/>
      <c r="H39" s="31" t="n"/>
      <c r="I39" s="31" t="n"/>
      <c r="J39" s="31" t="n"/>
      <c r="K39" s="31" t="n"/>
      <c r="L39" s="31" t="n"/>
    </row>
    <row r="40" ht="24" customHeight="1">
      <c r="A40" s="31" t="n"/>
      <c r="B40" s="31" t="n"/>
      <c r="C40" s="31" t="n"/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</row>
    <row r="41" ht="24" customHeight="1">
      <c r="A41" s="31" t="n"/>
      <c r="B41" s="31" t="n"/>
      <c r="C41" s="31" t="n"/>
      <c r="D41" s="31" t="n"/>
      <c r="E41" s="31" t="n"/>
      <c r="F41" s="31" t="n"/>
      <c r="G41" s="31" t="n"/>
      <c r="H41" s="31" t="n"/>
      <c r="I41" s="31" t="n"/>
      <c r="J41" s="31" t="n"/>
      <c r="K41" s="31" t="n"/>
      <c r="L41" s="31" t="n"/>
    </row>
    <row r="42" ht="24" customHeight="1">
      <c r="A42" s="31" t="inlineStr">
        <is>
          <t>Best mean fixed</t>
        </is>
      </c>
      <c r="B42" s="12">
        <f>INDEX(A36:A39,MATCH(MIN(B36:B39),B36:B39,0))</f>
        <v/>
      </c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</row>
    <row r="43" ht="24" customHeight="1">
      <c r="A43" s="31" t="inlineStr">
        <is>
          <t>Minimax fixed</t>
        </is>
      </c>
      <c r="B43" s="12">
        <f>INDEX(A36:A39,MATCH(MIN(D36:D39),D36:D39,0))</f>
        <v/>
      </c>
      <c r="C43" s="31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</row>
    <row r="44" ht="24" customHeight="1">
      <c r="A44" s="31" t="inlineStr">
        <is>
          <t>Empirical oracle</t>
        </is>
      </c>
      <c r="B44" s="12">
        <f>AVERAGE(F8:F31)</f>
        <v/>
      </c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  <c r="L44" s="31" t="n"/>
    </row>
    <row r="45" ht="24" customHeight="1">
      <c r="A45" s="31" t="inlineStr">
        <is>
          <t>Learned selector</t>
        </is>
      </c>
      <c r="B45" s="31" t="inlineStr">
        <is>
          <t>NOT FITTED — SCIENTIFIC GATE</t>
        </is>
      </c>
      <c r="C45" s="31" t="n"/>
      <c r="D45" s="31" t="n"/>
      <c r="E45" s="31" t="n"/>
      <c r="F45" s="31" t="n"/>
      <c r="G45" s="31" t="n"/>
      <c r="H45" s="31" t="n"/>
      <c r="I45" s="31" t="n"/>
      <c r="J45" s="31" t="n"/>
      <c r="K45" s="31" t="n"/>
      <c r="L45" s="31" t="n"/>
    </row>
    <row r="46" ht="24" customHeight="1">
      <c r="A46" s="31" t="n"/>
      <c r="B46" s="31" t="n"/>
      <c r="C46" s="31" t="n"/>
      <c r="D46" s="31" t="n"/>
      <c r="E46" s="31" t="n"/>
      <c r="F46" s="31" t="n"/>
      <c r="G46" s="31" t="n"/>
      <c r="H46" s="31" t="n"/>
      <c r="I46" s="31" t="n"/>
      <c r="J46" s="31" t="n"/>
      <c r="K46" s="31" t="n"/>
      <c r="L46" s="31" t="n"/>
    </row>
    <row r="47" ht="24" customHeight="1">
      <c r="A47" s="31" t="inlineStr">
        <is>
          <t>Mean available headroom</t>
        </is>
      </c>
      <c r="B47" s="12">
        <f>MIN(B36:B39)-B44</f>
        <v/>
      </c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</row>
    <row r="48" ht="24" customHeight="1">
      <c r="A48" s="31" t="n"/>
      <c r="B48" s="31" t="n"/>
      <c r="C48" s="31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</row>
    <row r="49" ht="24" customHeight="1">
      <c r="A49" s="31" t="inlineStr">
        <is>
          <t>Inference limitation</t>
        </is>
      </c>
      <c r="B49" s="31" t="inlineStr">
        <is>
          <t>No claim that a deployable selector can attain the oracle. Development oracle is optimistic and noisy.</t>
        </is>
      </c>
      <c r="C49" s="31" t="n"/>
      <c r="D49" s="31" t="n"/>
      <c r="E49" s="31" t="n"/>
      <c r="F49" s="31" t="n"/>
      <c r="G49" s="31" t="n"/>
      <c r="H49" s="31" t="n"/>
      <c r="I49" s="31" t="n"/>
      <c r="J49" s="31" t="n"/>
      <c r="K49" s="31" t="n"/>
      <c r="L49" s="31" t="n"/>
    </row>
    <row r="50" ht="24" customHeight="1">
      <c r="A50" s="31" t="n"/>
      <c r="B50" s="31" t="n"/>
      <c r="C50" s="31" t="n"/>
      <c r="D50" s="31" t="n"/>
      <c r="E50" s="31" t="n"/>
      <c r="F50" s="31" t="n"/>
      <c r="G50" s="31" t="n"/>
      <c r="H50" s="31" t="n"/>
      <c r="I50" s="31" t="n"/>
      <c r="J50" s="31" t="n"/>
      <c r="K50" s="31" t="n"/>
      <c r="L50" s="31" t="n"/>
    </row>
    <row r="51" ht="24" customHeight="1">
      <c r="A51" s="31" t="n"/>
      <c r="B51" s="31" t="n"/>
      <c r="C51" s="31" t="n"/>
      <c r="D51" s="31" t="n"/>
      <c r="E51" s="31" t="n"/>
      <c r="F51" s="31" t="n"/>
      <c r="G51" s="31" t="n"/>
      <c r="H51" s="31" t="n"/>
      <c r="I51" s="31" t="n"/>
      <c r="J51" s="31" t="n"/>
      <c r="K51" s="31" t="n"/>
      <c r="L51" s="31" t="n"/>
    </row>
    <row r="52" ht="24" customHeight="1">
      <c r="A52" s="31" t="n"/>
      <c r="B52" s="31" t="n"/>
      <c r="C52" s="31" t="n"/>
      <c r="D52" s="31" t="n"/>
      <c r="E52" s="31" t="n"/>
      <c r="F52" s="31" t="n"/>
      <c r="G52" s="31" t="n"/>
      <c r="H52" s="31" t="n"/>
      <c r="I52" s="31" t="n"/>
      <c r="J52" s="31" t="n"/>
      <c r="K52" s="31" t="n"/>
      <c r="L52" s="31" t="n"/>
    </row>
    <row r="53" ht="24" customHeight="1">
      <c r="A53" s="31" t="n"/>
      <c r="B53" s="31" t="n"/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</row>
    <row r="54" ht="24" customHeight="1">
      <c r="A54" s="31" t="n"/>
      <c r="B54" s="31" t="n"/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</row>
    <row r="55" ht="24" customHeight="1">
      <c r="A55" s="31" t="n"/>
      <c r="B55" s="31" t="n"/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</row>
    <row r="56" ht="24" customHeight="1">
      <c r="A56" s="31" t="n"/>
      <c r="B56" s="31" t="n"/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</row>
    <row r="57" ht="24" customHeight="1">
      <c r="A57" s="31" t="n"/>
      <c r="B57" s="31" t="n"/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</row>
    <row r="58" ht="24" customHeight="1">
      <c r="A58" s="31" t="n"/>
      <c r="B58" s="31" t="n"/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</row>
    <row r="59" ht="24" customHeight="1">
      <c r="A59" s="31" t="n"/>
      <c r="B59" s="31" t="n"/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</row>
    <row r="60" ht="24" customHeight="1">
      <c r="A60" s="31" t="n"/>
      <c r="B60" s="31" t="n"/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</row>
    <row r="61" ht="24" customHeight="1">
      <c r="A61" s="31" t="n"/>
      <c r="B61" s="31" t="n"/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</row>
    <row r="62" ht="24" customHeight="1">
      <c r="A62" s="31" t="n"/>
      <c r="B62" s="31" t="n"/>
      <c r="C62" s="31" t="n"/>
      <c r="D62" s="31" t="n"/>
      <c r="E62" s="31" t="n"/>
      <c r="F62" s="31" t="n"/>
      <c r="G62" s="31" t="n"/>
      <c r="H62" s="31" t="n"/>
      <c r="I62" s="31" t="n"/>
      <c r="J62" s="31" t="n"/>
      <c r="K62" s="31" t="n"/>
      <c r="L62" s="31" t="n"/>
    </row>
    <row r="63" ht="24" customHeight="1">
      <c r="A63" s="31" t="n"/>
      <c r="B63" s="31" t="n"/>
      <c r="C63" s="31" t="n"/>
      <c r="D63" s="31" t="n"/>
      <c r="E63" s="31" t="n"/>
      <c r="F63" s="31" t="n"/>
      <c r="G63" s="31" t="n"/>
      <c r="H63" s="31" t="n"/>
      <c r="I63" s="31" t="n"/>
      <c r="J63" s="31" t="n"/>
      <c r="K63" s="31" t="n"/>
      <c r="L63" s="31" t="n"/>
    </row>
    <row r="64" ht="24" customHeight="1">
      <c r="A64" s="31" t="n"/>
      <c r="B64" s="31" t="n"/>
      <c r="C64" s="31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</row>
    <row r="65" ht="24" customHeight="1">
      <c r="A65" s="31" t="n"/>
      <c r="B65" s="31" t="n"/>
      <c r="C65" s="31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</row>
    <row r="66" ht="24" customHeight="1">
      <c r="A66" s="31" t="n"/>
      <c r="B66" s="31" t="n"/>
      <c r="C66" s="31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</row>
    <row r="67" ht="24" customHeight="1">
      <c r="A67" s="31" t="n"/>
      <c r="B67" s="31" t="n"/>
      <c r="C67" s="31" t="n"/>
      <c r="D67" s="31" t="n"/>
      <c r="E67" s="31" t="n"/>
      <c r="F67" s="31" t="n"/>
      <c r="G67" s="31" t="n"/>
      <c r="H67" s="31" t="n"/>
      <c r="I67" s="31" t="n"/>
      <c r="J67" s="31" t="n"/>
      <c r="K67" s="31" t="n"/>
      <c r="L67" s="31" t="n"/>
    </row>
    <row r="68" ht="24" customHeight="1">
      <c r="A68" s="31" t="n"/>
      <c r="B68" s="31" t="n"/>
      <c r="C68" s="31" t="n"/>
      <c r="D68" s="31" t="n"/>
      <c r="E68" s="31" t="n"/>
      <c r="F68" s="31" t="n"/>
      <c r="G68" s="31" t="n"/>
      <c r="H68" s="31" t="n"/>
      <c r="I68" s="31" t="n"/>
      <c r="J68" s="31" t="n"/>
      <c r="K68" s="31" t="n"/>
      <c r="L68" s="31" t="n"/>
    </row>
    <row r="69" ht="24" customHeight="1">
      <c r="A69" s="31" t="n"/>
      <c r="B69" s="31" t="n"/>
      <c r="C69" s="31" t="n"/>
      <c r="D69" s="31" t="n"/>
      <c r="E69" s="31" t="n"/>
      <c r="F69" s="31" t="n"/>
      <c r="G69" s="31" t="n"/>
      <c r="H69" s="31" t="n"/>
      <c r="I69" s="31" t="n"/>
      <c r="J69" s="31" t="n"/>
      <c r="K69" s="31" t="n"/>
      <c r="L69" s="31" t="n"/>
    </row>
    <row r="70" ht="24" customHeight="1">
      <c r="A70" s="31" t="n"/>
      <c r="B70" s="31" t="n"/>
      <c r="C70" s="31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</row>
    <row r="71" ht="24" customHeight="1">
      <c r="A71" s="31" t="n"/>
      <c r="B71" s="31" t="n"/>
      <c r="C71" s="31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</row>
    <row r="72" ht="24" customHeight="1">
      <c r="A72" s="31" t="n"/>
      <c r="B72" s="31" t="n"/>
      <c r="C72" s="31" t="n"/>
      <c r="D72" s="31" t="n"/>
      <c r="E72" s="31" t="n"/>
      <c r="F72" s="31" t="n"/>
      <c r="G72" s="31" t="n"/>
      <c r="H72" s="31" t="n"/>
      <c r="I72" s="31" t="n"/>
      <c r="J72" s="31" t="n"/>
      <c r="K72" s="31" t="n"/>
      <c r="L72" s="31" t="n"/>
    </row>
    <row r="73" ht="24" customHeight="1">
      <c r="A73" s="31" t="n"/>
      <c r="B73" s="31" t="n"/>
      <c r="C73" s="31" t="n"/>
      <c r="D73" s="31" t="n"/>
      <c r="E73" s="31" t="n"/>
      <c r="F73" s="31" t="n"/>
      <c r="G73" s="31" t="n"/>
      <c r="H73" s="31" t="n"/>
      <c r="I73" s="31" t="n"/>
      <c r="J73" s="31" t="n"/>
      <c r="K73" s="31" t="n"/>
      <c r="L73" s="31" t="n"/>
    </row>
    <row r="74" ht="24" customHeight="1">
      <c r="A74" s="31" t="n"/>
      <c r="B74" s="31" t="n"/>
      <c r="C74" s="31" t="n"/>
      <c r="D74" s="31" t="n"/>
      <c r="E74" s="31" t="n"/>
      <c r="F74" s="31" t="n"/>
      <c r="G74" s="31" t="n"/>
      <c r="H74" s="31" t="n"/>
      <c r="I74" s="31" t="n"/>
      <c r="J74" s="31" t="n"/>
      <c r="K74" s="31" t="n"/>
      <c r="L74" s="31" t="n"/>
    </row>
    <row r="75" ht="24" customHeight="1">
      <c r="A75" s="31" t="n"/>
      <c r="B75" s="31" t="n"/>
      <c r="C75" s="31" t="n"/>
      <c r="D75" s="31" t="n"/>
      <c r="E75" s="31" t="n"/>
      <c r="F75" s="31" t="n"/>
      <c r="G75" s="31" t="n"/>
      <c r="H75" s="31" t="n"/>
      <c r="I75" s="31" t="n"/>
      <c r="J75" s="31" t="n"/>
      <c r="K75" s="31" t="n"/>
      <c r="L75" s="31" t="n"/>
    </row>
    <row r="76" ht="24" customHeight="1">
      <c r="A76" s="31" t="n"/>
      <c r="B76" s="31" t="n"/>
      <c r="C76" s="31" t="n"/>
      <c r="D76" s="31" t="n"/>
      <c r="E76" s="31" t="n"/>
      <c r="F76" s="31" t="n"/>
      <c r="G76" s="31" t="n"/>
      <c r="H76" s="31" t="n"/>
      <c r="I76" s="31" t="n"/>
      <c r="J76" s="31" t="n"/>
      <c r="K76" s="31" t="n"/>
      <c r="L76" s="31" t="n"/>
    </row>
    <row r="77" ht="24" customHeight="1">
      <c r="A77" s="31" t="n"/>
      <c r="B77" s="31" t="n"/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pane xSplit="1" ySplit="7" topLeftCell="B8" activePane="bottomRight" state="frozen"/>
      <selection activeCell="A1" sqref="A1"/>
    </sheetView>
  </sheetViews>
  <sheetFormatPr baseColWidth="8" defaultRowHeight="15"/>
  <cols>
    <col width="32" customWidth="1" min="1" max="1"/>
    <col width="28" customWidth="1" min="2" max="2"/>
    <col width="27" customWidth="1" min="3" max="3"/>
    <col width="26" customWidth="1" min="4" max="4"/>
    <col width="26" customWidth="1" min="5" max="5"/>
    <col width="26" customWidth="1" min="6" max="6"/>
    <col width="25" customWidth="1" min="7" max="7"/>
    <col width="34" customWidth="1" min="8" max="8"/>
    <col width="20" customWidth="1" min="9" max="9"/>
    <col width="20" customWidth="1" min="10" max="10"/>
  </cols>
  <sheetData>
    <row r="1" ht="24" customHeight="1">
      <c r="A1" s="31" t="n"/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</row>
    <row r="2" ht="24" customHeight="1">
      <c r="A2" s="3" t="inlineStr">
        <is>
          <t>HYPOTHETICAL TEACHING VALUES — not SUMO evidence</t>
        </is>
      </c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</row>
    <row r="3" ht="24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</row>
    <row r="4" ht="24" customHeight="1">
      <c r="A4" s="4" t="inlineStr">
        <is>
          <t>This isolated example demonstrates preference conflict. It never feeds physical results or ML.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</row>
    <row r="5" ht="24" customHeight="1">
      <c r="A5" s="31" t="n"/>
      <c r="B5" s="31" t="n"/>
      <c r="C5" s="31" t="n"/>
      <c r="D5" s="31" t="n"/>
      <c r="E5" s="31" t="n"/>
      <c r="F5" s="31" t="n"/>
      <c r="G5" s="31" t="n"/>
      <c r="H5" s="31" t="n"/>
      <c r="I5" s="31" t="n"/>
      <c r="J5" s="31" t="n"/>
    </row>
    <row r="6" ht="24" customHeight="1">
      <c r="A6" s="31" t="n"/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</row>
    <row r="7" ht="38" customHeight="1">
      <c r="A7" s="7" t="inlineStr">
        <is>
          <t>Alternative</t>
        </is>
      </c>
      <c r="B7" s="7" t="inlineStr">
        <is>
          <t>Time (s)</t>
        </is>
      </c>
      <c r="C7" s="7" t="inlineStr">
        <is>
          <t>CO2 (g)</t>
        </is>
      </c>
      <c r="D7" s="7" t="inlineStr">
        <is>
          <t>Time / 10</t>
        </is>
      </c>
      <c r="E7" s="7" t="inlineStr">
        <is>
          <t>CO2 / 100</t>
        </is>
      </c>
      <c r="F7" s="31" t="n"/>
      <c r="G7" s="31" t="n"/>
      <c r="H7" s="31" t="n"/>
      <c r="I7" s="31" t="n"/>
      <c r="J7" s="31" t="n"/>
    </row>
    <row r="8" ht="24" customHeight="1">
      <c r="A8" s="31" t="inlineStr">
        <is>
          <t>A</t>
        </is>
      </c>
      <c r="B8" s="45" t="n">
        <v>10</v>
      </c>
      <c r="C8" s="45" t="n">
        <v>120</v>
      </c>
      <c r="D8" s="35">
        <f>B8/10</f>
        <v/>
      </c>
      <c r="E8" s="35">
        <f>C8/100</f>
        <v/>
      </c>
      <c r="F8" s="31" t="n"/>
      <c r="G8" s="31" t="n"/>
      <c r="H8" s="31" t="n"/>
      <c r="I8" s="31" t="n"/>
      <c r="J8" s="31" t="n"/>
    </row>
    <row r="9" ht="24" customHeight="1">
      <c r="A9" s="31" t="inlineStr">
        <is>
          <t>B</t>
        </is>
      </c>
      <c r="B9" s="45" t="n">
        <v>12</v>
      </c>
      <c r="C9" s="45" t="n">
        <v>80</v>
      </c>
      <c r="D9" s="35">
        <f>B9/10</f>
        <v/>
      </c>
      <c r="E9" s="35">
        <f>C9/100</f>
        <v/>
      </c>
      <c r="F9" s="31" t="n"/>
      <c r="G9" s="31" t="n"/>
      <c r="H9" s="31" t="n"/>
      <c r="I9" s="31" t="n"/>
      <c r="J9" s="31" t="n"/>
    </row>
    <row r="10" ht="24" customHeight="1">
      <c r="A10" s="31" t="inlineStr">
        <is>
          <t>C</t>
        </is>
      </c>
      <c r="B10" s="45" t="n">
        <v>15</v>
      </c>
      <c r="C10" s="45" t="n">
        <v>60</v>
      </c>
      <c r="D10" s="35">
        <f>B10/10</f>
        <v/>
      </c>
      <c r="E10" s="35">
        <f>C10/100</f>
        <v/>
      </c>
      <c r="F10" s="31" t="n"/>
      <c r="G10" s="31" t="n"/>
      <c r="H10" s="31" t="n"/>
      <c r="I10" s="31" t="n"/>
      <c r="J10" s="31" t="n"/>
    </row>
    <row r="11" ht="24" customHeight="1">
      <c r="A11" s="31" t="n"/>
      <c r="B11" s="31" t="n"/>
      <c r="C11" s="31" t="n"/>
      <c r="D11" s="31" t="n"/>
      <c r="E11" s="31" t="n"/>
      <c r="F11" s="31" t="n"/>
      <c r="G11" s="31" t="n"/>
      <c r="H11" s="31" t="n"/>
      <c r="I11" s="31" t="n"/>
      <c r="J11" s="31" t="n"/>
    </row>
    <row r="12" ht="24" customHeight="1">
      <c r="A12" s="31" t="n"/>
      <c r="B12" s="31" t="n"/>
      <c r="C12" s="31" t="n"/>
      <c r="D12" s="31" t="n"/>
      <c r="E12" s="31" t="n"/>
      <c r="F12" s="31" t="n"/>
      <c r="G12" s="31" t="n"/>
      <c r="H12" s="31" t="n"/>
      <c r="I12" s="31" t="n"/>
      <c r="J12" s="31" t="n"/>
    </row>
    <row r="13" ht="24" customHeight="1">
      <c r="A13" s="31" t="n"/>
      <c r="B13" s="31" t="n"/>
      <c r="C13" s="31" t="n"/>
      <c r="D13" s="31" t="n"/>
      <c r="E13" s="31" t="n"/>
      <c r="F13" s="31" t="n"/>
      <c r="G13" s="31" t="n"/>
      <c r="H13" s="31" t="n"/>
      <c r="I13" s="31" t="n"/>
      <c r="J13" s="31" t="n"/>
    </row>
    <row r="14" ht="38" customHeight="1">
      <c r="A14" s="7" t="inlineStr">
        <is>
          <t>Profile</t>
        </is>
      </c>
      <c r="B14" s="7" t="inlineStr">
        <is>
          <t>Time weight</t>
        </is>
      </c>
      <c r="C14" s="7" t="inlineStr">
        <is>
          <t>CO2 weight</t>
        </is>
      </c>
      <c r="D14" s="7" t="inlineStr">
        <is>
          <t>A cost</t>
        </is>
      </c>
      <c r="E14" s="7" t="inlineStr">
        <is>
          <t>B cost</t>
        </is>
      </c>
      <c r="F14" s="7" t="inlineStr">
        <is>
          <t>C cost</t>
        </is>
      </c>
      <c r="G14" s="7" t="inlineStr">
        <is>
          <t>Winner</t>
        </is>
      </c>
      <c r="H14" s="7" t="inlineStr">
        <is>
          <t>Regret if choose A</t>
        </is>
      </c>
      <c r="I14" s="31" t="n"/>
      <c r="J14" s="31" t="n"/>
    </row>
    <row r="15" ht="24" customHeight="1">
      <c r="A15" s="31" t="inlineStr">
        <is>
          <t>Balanced</t>
        </is>
      </c>
      <c r="B15" s="44" t="n">
        <v>0.5</v>
      </c>
      <c r="C15" s="44" t="n">
        <v>0.5</v>
      </c>
      <c r="D15" s="35">
        <f>$B15*D8+$C15*E8</f>
        <v/>
      </c>
      <c r="E15" s="35">
        <f>$B15*D9+$C15*E9</f>
        <v/>
      </c>
      <c r="F15" s="35">
        <f>$B15*D10+$C15*E10</f>
        <v/>
      </c>
      <c r="G15" s="35">
        <f>INDEX($A$8:$A$10,MATCH(MIN(D15:F15),D15:F15,0))</f>
        <v/>
      </c>
      <c r="H15" s="35">
        <f>D15-MIN(D15:F15)</f>
        <v/>
      </c>
      <c r="I15" s="31" t="n"/>
      <c r="J15" s="31" t="n"/>
    </row>
    <row r="16" ht="24" customHeight="1">
      <c r="A16" s="31" t="inlineStr">
        <is>
          <t>Time-heavy</t>
        </is>
      </c>
      <c r="B16" s="44" t="n">
        <v>0.75</v>
      </c>
      <c r="C16" s="44" t="n">
        <v>0.25</v>
      </c>
      <c r="D16" s="35">
        <f>$B16*D8+$C16*E8</f>
        <v/>
      </c>
      <c r="E16" s="35">
        <f>$B16*D9+$C16*E9</f>
        <v/>
      </c>
      <c r="F16" s="35">
        <f>$B16*D10+$C16*E10</f>
        <v/>
      </c>
      <c r="G16" s="35">
        <f>INDEX($A$8:$A$10,MATCH(MIN(D16:F16),D16:F16,0))</f>
        <v/>
      </c>
      <c r="H16" s="35">
        <f>D16-MIN(D16:F16)</f>
        <v/>
      </c>
      <c r="I16" s="31" t="n"/>
      <c r="J16" s="31" t="n"/>
    </row>
    <row r="17" ht="24" customHeight="1">
      <c r="A17" s="31" t="inlineStr">
        <is>
          <t>Environment-heavy</t>
        </is>
      </c>
      <c r="B17" s="44" t="n">
        <v>0.25</v>
      </c>
      <c r="C17" s="44" t="n">
        <v>0.75</v>
      </c>
      <c r="D17" s="35">
        <f>$B17*D8+$C17*E8</f>
        <v/>
      </c>
      <c r="E17" s="35">
        <f>$B17*D9+$C17*E9</f>
        <v/>
      </c>
      <c r="F17" s="35">
        <f>$B17*D10+$C17*E10</f>
        <v/>
      </c>
      <c r="G17" s="35">
        <f>INDEX($A$8:$A$10,MATCH(MIN(D17:F17),D17:F17,0))</f>
        <v/>
      </c>
      <c r="H17" s="35">
        <f>D17-MIN(D17:F17)</f>
        <v/>
      </c>
      <c r="I17" s="31" t="n"/>
      <c r="J17" s="31" t="n"/>
    </row>
    <row r="18" ht="24" customHeight="1">
      <c r="A18" s="31" t="n"/>
      <c r="B18" s="31" t="n"/>
      <c r="C18" s="31" t="n"/>
      <c r="D18" s="31" t="n"/>
      <c r="E18" s="31" t="n"/>
      <c r="F18" s="31" t="n"/>
      <c r="G18" s="31" t="n"/>
      <c r="H18" s="31" t="n"/>
      <c r="I18" s="31" t="n"/>
      <c r="J18" s="31" t="n"/>
    </row>
    <row r="19" ht="24" customHeight="1">
      <c r="A19" s="31" t="n"/>
      <c r="B19" s="31" t="n"/>
      <c r="C19" s="31" t="n"/>
      <c r="D19" s="31" t="n"/>
      <c r="E19" s="31" t="n"/>
      <c r="F19" s="31" t="n"/>
      <c r="G19" s="31" t="n"/>
      <c r="H19" s="31" t="n"/>
      <c r="I19" s="31" t="n"/>
      <c r="J19" s="31" t="n"/>
    </row>
    <row r="20" ht="24" customHeight="1">
      <c r="A20" s="31" t="inlineStr">
        <is>
          <t>Balanced calculation</t>
        </is>
      </c>
      <c r="B20" s="31" t="inlineStr">
        <is>
          <t>A=0.5×1+0.5×1.2=1.1; B=1.0; C=1.05. Select B. A regret=0.10.</t>
        </is>
      </c>
      <c r="C20" s="31" t="n"/>
      <c r="D20" s="31" t="n"/>
      <c r="E20" s="31" t="n"/>
      <c r="F20" s="31" t="n"/>
      <c r="G20" s="31" t="n"/>
      <c r="H20" s="31" t="n"/>
      <c r="I20" s="31" t="n"/>
      <c r="J20" s="31" t="n"/>
    </row>
    <row r="21" ht="24" customHeight="1">
      <c r="A21" s="31" t="n"/>
      <c r="B21" s="31" t="n"/>
      <c r="C21" s="31" t="n"/>
      <c r="D21" s="31" t="n"/>
      <c r="E21" s="31" t="n"/>
      <c r="F21" s="31" t="n"/>
      <c r="G21" s="31" t="n"/>
      <c r="H21" s="31" t="n"/>
      <c r="I21" s="31" t="n"/>
      <c r="J21" s="31" t="n"/>
    </row>
    <row r="22" ht="24" customHeight="1">
      <c r="A22" s="31" t="inlineStr">
        <is>
          <t>TECO example</t>
        </is>
      </c>
      <c r="B22" s="31" t="inlineStr">
        <is>
          <t>Fastest estimated time=100 s; alpha=0.10 gives limit=110 s. Eco routes above 110 s are excluded.</t>
        </is>
      </c>
      <c r="C22" s="31" t="n"/>
      <c r="D22" s="31" t="n"/>
      <c r="E22" s="31" t="n"/>
      <c r="F22" s="31" t="n"/>
      <c r="G22" s="31" t="n"/>
      <c r="H22" s="31" t="n"/>
      <c r="I22" s="31" t="n"/>
      <c r="J22" s="31" t="n"/>
    </row>
    <row r="23" ht="24" customHeight="1">
      <c r="A23" s="31" t="n"/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</row>
    <row r="24" ht="24" customHeight="1">
      <c r="A24" s="31" t="inlineStr">
        <is>
          <t>Native emission example</t>
        </is>
      </c>
      <c r="B24" s="31" t="inlineStr">
        <is>
          <t>60000 mg / 120 vehicle-s × 30 s = 15000 mg = 15 g per estimated traversal.</t>
        </is>
      </c>
      <c r="C24" s="31" t="n"/>
      <c r="D24" s="31" t="n"/>
      <c r="E24" s="31" t="n"/>
      <c r="F24" s="31" t="n"/>
      <c r="G24" s="31" t="n"/>
      <c r="H24" s="31" t="n"/>
      <c r="I24" s="31" t="n"/>
      <c r="J24" s="31" t="n"/>
    </row>
    <row r="25" ht="24" customHeight="1">
      <c r="A25" s="31" t="n"/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</row>
    <row r="26" ht="24" customHeight="1">
      <c r="A26" s="31" t="inlineStr">
        <is>
          <t>Probe loss example</t>
        </is>
      </c>
      <c r="B26" s="31" t="inlineStr">
        <is>
          <t>Predicted-best route realizes 120 g; observed best realizes 100 g: relative loss=20/100=20%.</t>
        </is>
      </c>
      <c r="C26" s="31" t="n"/>
      <c r="D26" s="31" t="n"/>
      <c r="E26" s="31" t="n"/>
      <c r="F26" s="31" t="n"/>
      <c r="G26" s="31" t="n"/>
      <c r="H26" s="31" t="n"/>
      <c r="I26" s="31" t="n"/>
      <c r="J26" s="31" t="n"/>
    </row>
    <row r="27" ht="24" customHeight="1">
      <c r="A27" s="31" t="n"/>
      <c r="B27" s="31" t="n"/>
      <c r="C27" s="31" t="n"/>
      <c r="D27" s="31" t="n"/>
      <c r="E27" s="31" t="n"/>
      <c r="F27" s="31" t="n"/>
      <c r="G27" s="31" t="n"/>
      <c r="H27" s="31" t="n"/>
      <c r="I27" s="31" t="n"/>
      <c r="J27" s="31" t="n"/>
    </row>
    <row r="28" ht="24" customHeight="1">
      <c r="A28" s="31" t="inlineStr">
        <is>
          <t>Source distinction</t>
        </is>
      </c>
      <c r="B28" s="31" t="inlineStr">
        <is>
          <t>Arithmetic illustrations of E02/E03/E05/E06/E12. Input numbers are deliberately hypothetical.</t>
        </is>
      </c>
      <c r="C28" s="31" t="n"/>
      <c r="D28" s="31" t="n"/>
      <c r="E28" s="31" t="n"/>
      <c r="F28" s="31" t="n"/>
      <c r="G28" s="31" t="n"/>
      <c r="H28" s="31" t="n"/>
      <c r="I28" s="31" t="n"/>
      <c r="J28" s="31" t="n"/>
    </row>
    <row r="29" ht="24" customHeight="1">
      <c r="A29" s="31" t="n"/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</row>
    <row r="30" ht="24" customHeight="1">
      <c r="A30" s="31" t="n"/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</row>
    <row r="31" ht="24" customHeight="1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</row>
    <row r="32" ht="24" customHeight="1">
      <c r="A32" s="31" t="n"/>
      <c r="B32" s="31" t="n"/>
      <c r="C32" s="31" t="n"/>
      <c r="D32" s="31" t="n"/>
      <c r="E32" s="31" t="n"/>
      <c r="F32" s="31" t="n"/>
      <c r="G32" s="31" t="n"/>
      <c r="H32" s="31" t="n"/>
      <c r="I32" s="31" t="n"/>
      <c r="J32" s="31" t="n"/>
    </row>
    <row r="33" ht="24" customHeight="1">
      <c r="A33" s="31" t="n"/>
      <c r="B33" s="31" t="n"/>
      <c r="C33" s="31" t="n"/>
      <c r="D33" s="31" t="n"/>
      <c r="E33" s="31" t="n"/>
      <c r="F33" s="31" t="n"/>
      <c r="G33" s="31" t="n"/>
      <c r="H33" s="31" t="n"/>
      <c r="I33" s="31" t="n"/>
      <c r="J33" s="31" t="n"/>
    </row>
    <row r="34" ht="24" customHeight="1">
      <c r="A34" s="31" t="n"/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</row>
    <row r="35" ht="24" customHeight="1">
      <c r="A35" s="31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</row>
    <row r="36" ht="24" customHeight="1">
      <c r="A36" s="31" t="n"/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</row>
    <row r="37" ht="24" customHeight="1">
      <c r="A37" s="31" t="n"/>
      <c r="B37" s="31" t="n"/>
      <c r="C37" s="31" t="n"/>
      <c r="D37" s="31" t="n"/>
      <c r="E37" s="31" t="n"/>
      <c r="F37" s="31" t="n"/>
      <c r="G37" s="31" t="n"/>
      <c r="H37" s="31" t="n"/>
      <c r="I37" s="31" t="n"/>
      <c r="J37" s="31" t="n"/>
    </row>
    <row r="38" ht="24" customHeight="1">
      <c r="A38" s="31" t="n"/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</row>
    <row r="39" ht="24" customHeight="1">
      <c r="A39" s="31" t="n"/>
      <c r="B39" s="31" t="n"/>
      <c r="C39" s="31" t="n"/>
      <c r="D39" s="31" t="n"/>
      <c r="E39" s="31" t="n"/>
      <c r="F39" s="31" t="n"/>
      <c r="G39" s="31" t="n"/>
      <c r="H39" s="31" t="n"/>
      <c r="I39" s="31" t="n"/>
      <c r="J39" s="31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05"/>
  <sheetViews>
    <sheetView showGridLines="0" workbookViewId="0">
      <pane xSplit="1" ySplit="7" topLeftCell="B8" activePane="bottomRight" state="frozen"/>
      <selection activeCell="A1" sqref="A1"/>
    </sheetView>
  </sheetViews>
  <sheetFormatPr baseColWidth="8" defaultRowHeight="15"/>
  <cols>
    <col width="24" customWidth="1" min="1" max="1"/>
    <col width="28" customWidth="1" min="2" max="2"/>
    <col width="23" customWidth="1" min="3" max="3"/>
    <col width="30" customWidth="1" min="4" max="4"/>
    <col width="29" customWidth="1" min="5" max="5"/>
    <col width="25" customWidth="1" min="6" max="6"/>
    <col width="25" customWidth="1" min="7" max="7"/>
    <col width="36" customWidth="1" min="8" max="8"/>
    <col width="20" customWidth="1" min="9" max="9"/>
    <col width="20" customWidth="1" min="10" max="10"/>
    <col width="20" customWidth="1" min="11" max="11"/>
  </cols>
  <sheetData>
    <row r="1" ht="24" customHeight="1">
      <c r="A1" s="31" t="n"/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</row>
    <row r="2" ht="24" customHeight="1">
      <c r="A2" s="3" t="inlineStr">
        <is>
          <t>Frozen original pilot — separate from all development work</t>
        </is>
      </c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</row>
    <row r="3" ht="24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 ht="24" customHeight="1">
      <c r="A4" s="4" t="inlineStr">
        <is>
          <t>270 original runs. Mixed primary/background estimand; original time/CO2 criteria and calibration preserved.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24" customHeight="1">
      <c r="A5" s="31" t="n"/>
      <c r="B5" s="31" t="n"/>
      <c r="C5" s="31" t="n"/>
      <c r="D5" s="31" t="n"/>
      <c r="E5" s="31" t="n"/>
      <c r="F5" s="31" t="n"/>
      <c r="G5" s="31" t="n"/>
      <c r="H5" s="31" t="n"/>
      <c r="I5" s="31" t="n"/>
      <c r="J5" s="31" t="n"/>
      <c r="K5" s="31" t="n"/>
    </row>
    <row r="6" ht="24" customHeight="1">
      <c r="A6" s="31" t="n"/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</row>
    <row r="7" ht="38" customHeight="1">
      <c r="A7" s="7" t="inlineStr">
        <is>
          <t>Context</t>
        </is>
      </c>
      <c r="B7" s="7" t="inlineStr">
        <is>
          <t>Policy</t>
        </is>
      </c>
      <c r="C7" s="7" t="inlineStr">
        <is>
          <t>Seed</t>
        </is>
      </c>
      <c r="D7" s="7" t="inlineStr">
        <is>
          <t>Original mean journey (s)</t>
        </is>
      </c>
      <c r="E7" s="7" t="inlineStr">
        <is>
          <t>Original CO2 (g)</t>
        </is>
      </c>
      <c r="F7" s="7" t="inlineStr">
        <is>
          <t>Split</t>
        </is>
      </c>
      <c r="G7" s="7" t="inlineStr">
        <is>
          <t>Cohort n</t>
        </is>
      </c>
      <c r="H7" s="7" t="inlineStr">
        <is>
          <t>Evidence status</t>
        </is>
      </c>
      <c r="I7" s="31" t="n"/>
      <c r="J7" s="31" t="n"/>
      <c r="K7" s="31" t="n"/>
    </row>
    <row r="8" ht="24" customHeight="1">
      <c r="A8" s="31" t="inlineStr">
        <is>
          <t>P001</t>
        </is>
      </c>
      <c r="B8" s="31" t="inlineStr">
        <is>
          <t>SP</t>
        </is>
      </c>
      <c r="C8" s="31" t="n">
        <v>1</v>
      </c>
      <c r="D8" s="46" t="n">
        <v>174.0213523131673</v>
      </c>
      <c r="E8" s="46" t="n">
        <v>441.6414489679715</v>
      </c>
      <c r="F8" s="31" t="inlineStr">
        <is>
          <t>train</t>
        </is>
      </c>
      <c r="G8" s="31" t="n">
        <v>281</v>
      </c>
      <c r="H8" s="31" t="inlineStr">
        <is>
          <t>COMPLETED PILOT</t>
        </is>
      </c>
      <c r="I8" s="31" t="n"/>
      <c r="J8" s="31" t="n"/>
      <c r="K8" s="31" t="n"/>
    </row>
    <row r="9" ht="24" customHeight="1">
      <c r="A9" s="31" t="inlineStr">
        <is>
          <t>P001</t>
        </is>
      </c>
      <c r="B9" s="31" t="inlineStr">
        <is>
          <t>SP</t>
        </is>
      </c>
      <c r="C9" s="31" t="n">
        <v>2</v>
      </c>
      <c r="D9" s="46" t="n">
        <v>163.6225806451613</v>
      </c>
      <c r="E9" s="46" t="n">
        <v>417.6881152258064</v>
      </c>
      <c r="F9" s="31" t="inlineStr">
        <is>
          <t>train</t>
        </is>
      </c>
      <c r="G9" s="31" t="n">
        <v>310</v>
      </c>
      <c r="H9" s="31" t="inlineStr">
        <is>
          <t>COMPLETED PILOT</t>
        </is>
      </c>
      <c r="I9" s="31" t="n"/>
      <c r="J9" s="31" t="n"/>
      <c r="K9" s="31" t="n"/>
    </row>
    <row r="10" ht="24" customHeight="1">
      <c r="A10" s="31" t="inlineStr">
        <is>
          <t>P001</t>
        </is>
      </c>
      <c r="B10" s="31" t="inlineStr">
        <is>
          <t>SP</t>
        </is>
      </c>
      <c r="C10" s="31" t="n">
        <v>3</v>
      </c>
      <c r="D10" s="46" t="n">
        <v>163.7891156462585</v>
      </c>
      <c r="E10" s="46" t="n">
        <v>414.3640222108843</v>
      </c>
      <c r="F10" s="31" t="inlineStr">
        <is>
          <t>train</t>
        </is>
      </c>
      <c r="G10" s="31" t="n">
        <v>294</v>
      </c>
      <c r="H10" s="31" t="inlineStr">
        <is>
          <t>COMPLETED PILOT</t>
        </is>
      </c>
      <c r="I10" s="31" t="n"/>
      <c r="J10" s="31" t="n"/>
      <c r="K10" s="31" t="n"/>
    </row>
    <row r="11" ht="24" customHeight="1">
      <c r="A11" s="31" t="inlineStr">
        <is>
          <t>P001</t>
        </is>
      </c>
      <c r="B11" s="31" t="inlineStr">
        <is>
          <t>DTT</t>
        </is>
      </c>
      <c r="C11" s="31" t="n">
        <v>1</v>
      </c>
      <c r="D11" s="46" t="n">
        <v>173.2669039145908</v>
      </c>
      <c r="E11" s="46" t="n">
        <v>437.2177291459075</v>
      </c>
      <c r="F11" s="31" t="inlineStr">
        <is>
          <t>train</t>
        </is>
      </c>
      <c r="G11" s="31" t="n">
        <v>281</v>
      </c>
      <c r="H11" s="31" t="inlineStr">
        <is>
          <t>COMPLETED PILOT</t>
        </is>
      </c>
      <c r="I11" s="31" t="n"/>
      <c r="J11" s="31" t="n"/>
      <c r="K11" s="31" t="n"/>
    </row>
    <row r="12" ht="24" customHeight="1">
      <c r="A12" s="31" t="inlineStr">
        <is>
          <t>P001</t>
        </is>
      </c>
      <c r="B12" s="31" t="inlineStr">
        <is>
          <t>DTT</t>
        </is>
      </c>
      <c r="C12" s="31" t="n">
        <v>2</v>
      </c>
      <c r="D12" s="46" t="n">
        <v>161.4225806451613</v>
      </c>
      <c r="E12" s="46" t="n">
        <v>408.8684573548387</v>
      </c>
      <c r="F12" s="31" t="inlineStr">
        <is>
          <t>train</t>
        </is>
      </c>
      <c r="G12" s="31" t="n">
        <v>310</v>
      </c>
      <c r="H12" s="31" t="inlineStr">
        <is>
          <t>COMPLETED PILOT</t>
        </is>
      </c>
      <c r="I12" s="31" t="n"/>
      <c r="J12" s="31" t="n"/>
      <c r="K12" s="31" t="n"/>
    </row>
    <row r="13" ht="24" customHeight="1">
      <c r="A13" s="31" t="inlineStr">
        <is>
          <t>P001</t>
        </is>
      </c>
      <c r="B13" s="31" t="inlineStr">
        <is>
          <t>DTT</t>
        </is>
      </c>
      <c r="C13" s="31" t="n">
        <v>3</v>
      </c>
      <c r="D13" s="46" t="n">
        <v>164.0272108843537</v>
      </c>
      <c r="E13" s="46" t="n">
        <v>413.2462865986395</v>
      </c>
      <c r="F13" s="31" t="inlineStr">
        <is>
          <t>train</t>
        </is>
      </c>
      <c r="G13" s="31" t="n">
        <v>294</v>
      </c>
      <c r="H13" s="31" t="inlineStr">
        <is>
          <t>COMPLETED PILOT</t>
        </is>
      </c>
      <c r="I13" s="31" t="n"/>
      <c r="J13" s="31" t="n"/>
      <c r="K13" s="31" t="n"/>
    </row>
    <row r="14" ht="24" customHeight="1">
      <c r="A14" s="31" t="inlineStr">
        <is>
          <t>P001</t>
        </is>
      </c>
      <c r="B14" s="31" t="inlineStr">
        <is>
          <t>TDR</t>
        </is>
      </c>
      <c r="C14" s="31" t="n">
        <v>1</v>
      </c>
      <c r="D14" s="46" t="n">
        <v>174.0213523131673</v>
      </c>
      <c r="E14" s="46" t="n">
        <v>441.6414489679715</v>
      </c>
      <c r="F14" s="31" t="inlineStr">
        <is>
          <t>train</t>
        </is>
      </c>
      <c r="G14" s="31" t="n">
        <v>281</v>
      </c>
      <c r="H14" s="31" t="inlineStr">
        <is>
          <t>COMPLETED PILOT</t>
        </is>
      </c>
      <c r="I14" s="31" t="n"/>
      <c r="J14" s="31" t="n"/>
      <c r="K14" s="31" t="n"/>
    </row>
    <row r="15" ht="24" customHeight="1">
      <c r="A15" s="31" t="inlineStr">
        <is>
          <t>P001</t>
        </is>
      </c>
      <c r="B15" s="31" t="inlineStr">
        <is>
          <t>TDR</t>
        </is>
      </c>
      <c r="C15" s="31" t="n">
        <v>2</v>
      </c>
      <c r="D15" s="46" t="n">
        <v>163.6354838709677</v>
      </c>
      <c r="E15" s="46" t="n">
        <v>417.756569</v>
      </c>
      <c r="F15" s="31" t="inlineStr">
        <is>
          <t>train</t>
        </is>
      </c>
      <c r="G15" s="31" t="n">
        <v>310</v>
      </c>
      <c r="H15" s="31" t="inlineStr">
        <is>
          <t>COMPLETED PILOT</t>
        </is>
      </c>
      <c r="I15" s="31" t="n"/>
      <c r="J15" s="31" t="n"/>
      <c r="K15" s="31" t="n"/>
    </row>
    <row r="16" ht="24" customHeight="1">
      <c r="A16" s="31" t="inlineStr">
        <is>
          <t>P001</t>
        </is>
      </c>
      <c r="B16" s="31" t="inlineStr">
        <is>
          <t>TDR</t>
        </is>
      </c>
      <c r="C16" s="31" t="n">
        <v>3</v>
      </c>
      <c r="D16" s="46" t="n">
        <v>163.734693877551</v>
      </c>
      <c r="E16" s="46" t="n">
        <v>414.1454693197279</v>
      </c>
      <c r="F16" s="31" t="inlineStr">
        <is>
          <t>train</t>
        </is>
      </c>
      <c r="G16" s="31" t="n">
        <v>294</v>
      </c>
      <c r="H16" s="31" t="inlineStr">
        <is>
          <t>COMPLETED PILOT</t>
        </is>
      </c>
      <c r="I16" s="31" t="n"/>
      <c r="J16" s="31" t="n"/>
      <c r="K16" s="31" t="n"/>
    </row>
    <row r="17" ht="24" customHeight="1">
      <c r="A17" s="31" t="inlineStr">
        <is>
          <t>P002</t>
        </is>
      </c>
      <c r="B17" s="31" t="inlineStr">
        <is>
          <t>SP</t>
        </is>
      </c>
      <c r="C17" s="31" t="n">
        <v>1</v>
      </c>
      <c r="D17" s="46" t="n">
        <v>173.6085409252669</v>
      </c>
      <c r="E17" s="46" t="n">
        <v>442.7954562633452</v>
      </c>
      <c r="F17" s="31" t="inlineStr">
        <is>
          <t>train</t>
        </is>
      </c>
      <c r="G17" s="31" t="n">
        <v>281</v>
      </c>
      <c r="H17" s="31" t="inlineStr">
        <is>
          <t>COMPLETED PILOT</t>
        </is>
      </c>
      <c r="I17" s="31" t="n"/>
      <c r="J17" s="31" t="n"/>
      <c r="K17" s="31" t="n"/>
    </row>
    <row r="18" ht="24" customHeight="1">
      <c r="A18" s="31" t="inlineStr">
        <is>
          <t>P002</t>
        </is>
      </c>
      <c r="B18" s="31" t="inlineStr">
        <is>
          <t>SP</t>
        </is>
      </c>
      <c r="C18" s="31" t="n">
        <v>2</v>
      </c>
      <c r="D18" s="46" t="n">
        <v>163.3064516129032</v>
      </c>
      <c r="E18" s="46" t="n">
        <v>418.6845853548387</v>
      </c>
      <c r="F18" s="31" t="inlineStr">
        <is>
          <t>train</t>
        </is>
      </c>
      <c r="G18" s="31" t="n">
        <v>310</v>
      </c>
      <c r="H18" s="31" t="inlineStr">
        <is>
          <t>COMPLETED PILOT</t>
        </is>
      </c>
      <c r="I18" s="31" t="n"/>
      <c r="J18" s="31" t="n"/>
      <c r="K18" s="31" t="n"/>
    </row>
    <row r="19" ht="24" customHeight="1">
      <c r="A19" s="31" t="inlineStr">
        <is>
          <t>P002</t>
        </is>
      </c>
      <c r="B19" s="31" t="inlineStr">
        <is>
          <t>SP</t>
        </is>
      </c>
      <c r="C19" s="31" t="n">
        <v>3</v>
      </c>
      <c r="D19" s="46" t="n">
        <v>163.3333333333333</v>
      </c>
      <c r="E19" s="46" t="n">
        <v>415.4379970068027</v>
      </c>
      <c r="F19" s="31" t="inlineStr">
        <is>
          <t>train</t>
        </is>
      </c>
      <c r="G19" s="31" t="n">
        <v>294</v>
      </c>
      <c r="H19" s="31" t="inlineStr">
        <is>
          <t>COMPLETED PILOT</t>
        </is>
      </c>
      <c r="I19" s="31" t="n"/>
      <c r="J19" s="31" t="n"/>
      <c r="K19" s="31" t="n"/>
    </row>
    <row r="20" ht="24" customHeight="1">
      <c r="A20" s="31" t="inlineStr">
        <is>
          <t>P002</t>
        </is>
      </c>
      <c r="B20" s="31" t="inlineStr">
        <is>
          <t>DTT</t>
        </is>
      </c>
      <c r="C20" s="31" t="n">
        <v>1</v>
      </c>
      <c r="D20" s="46" t="n">
        <v>171.4270462633452</v>
      </c>
      <c r="E20" s="46" t="n">
        <v>432.629514911032</v>
      </c>
      <c r="F20" s="31" t="inlineStr">
        <is>
          <t>train</t>
        </is>
      </c>
      <c r="G20" s="31" t="n">
        <v>281</v>
      </c>
      <c r="H20" s="31" t="inlineStr">
        <is>
          <t>COMPLETED PILOT</t>
        </is>
      </c>
      <c r="I20" s="31" t="n"/>
      <c r="J20" s="31" t="n"/>
      <c r="K20" s="31" t="n"/>
    </row>
    <row r="21" ht="24" customHeight="1">
      <c r="A21" s="31" t="inlineStr">
        <is>
          <t>P002</t>
        </is>
      </c>
      <c r="B21" s="31" t="inlineStr">
        <is>
          <t>DTT</t>
        </is>
      </c>
      <c r="C21" s="31" t="n">
        <v>2</v>
      </c>
      <c r="D21" s="46" t="n">
        <v>162.0290322580645</v>
      </c>
      <c r="E21" s="46" t="n">
        <v>411.6020274193548</v>
      </c>
      <c r="F21" s="31" t="inlineStr">
        <is>
          <t>train</t>
        </is>
      </c>
      <c r="G21" s="31" t="n">
        <v>310</v>
      </c>
      <c r="H21" s="31" t="inlineStr">
        <is>
          <t>COMPLETED PILOT</t>
        </is>
      </c>
      <c r="I21" s="31" t="n"/>
      <c r="J21" s="31" t="n"/>
      <c r="K21" s="31" t="n"/>
    </row>
    <row r="22" ht="24" customHeight="1">
      <c r="A22" s="31" t="inlineStr">
        <is>
          <t>P002</t>
        </is>
      </c>
      <c r="B22" s="31" t="inlineStr">
        <is>
          <t>DTT</t>
        </is>
      </c>
      <c r="C22" s="31" t="n">
        <v>3</v>
      </c>
      <c r="D22" s="46" t="n">
        <v>164.030612244898</v>
      </c>
      <c r="E22" s="46" t="n">
        <v>414.6650571768707</v>
      </c>
      <c r="F22" s="31" t="inlineStr">
        <is>
          <t>train</t>
        </is>
      </c>
      <c r="G22" s="31" t="n">
        <v>294</v>
      </c>
      <c r="H22" s="31" t="inlineStr">
        <is>
          <t>COMPLETED PILOT</t>
        </is>
      </c>
      <c r="I22" s="31" t="n"/>
      <c r="J22" s="31" t="n"/>
      <c r="K22" s="31" t="n"/>
    </row>
    <row r="23" ht="24" customHeight="1">
      <c r="A23" s="31" t="inlineStr">
        <is>
          <t>P002</t>
        </is>
      </c>
      <c r="B23" s="31" t="inlineStr">
        <is>
          <t>TDR</t>
        </is>
      </c>
      <c r="C23" s="31" t="n">
        <v>1</v>
      </c>
      <c r="D23" s="46" t="n">
        <v>173.6085409252669</v>
      </c>
      <c r="E23" s="46" t="n">
        <v>442.7954562633452</v>
      </c>
      <c r="F23" s="31" t="inlineStr">
        <is>
          <t>train</t>
        </is>
      </c>
      <c r="G23" s="31" t="n">
        <v>281</v>
      </c>
      <c r="H23" s="31" t="inlineStr">
        <is>
          <t>COMPLETED PILOT</t>
        </is>
      </c>
      <c r="I23" s="31" t="n"/>
      <c r="J23" s="31" t="n"/>
      <c r="K23" s="31" t="n"/>
    </row>
    <row r="24" ht="24" customHeight="1">
      <c r="A24" s="31" t="inlineStr">
        <is>
          <t>P002</t>
        </is>
      </c>
      <c r="B24" s="31" t="inlineStr">
        <is>
          <t>TDR</t>
        </is>
      </c>
      <c r="C24" s="31" t="n">
        <v>2</v>
      </c>
      <c r="D24" s="46" t="n">
        <v>163.2612903225806</v>
      </c>
      <c r="E24" s="46" t="n">
        <v>418.3047760645161</v>
      </c>
      <c r="F24" s="31" t="inlineStr">
        <is>
          <t>train</t>
        </is>
      </c>
      <c r="G24" s="31" t="n">
        <v>310</v>
      </c>
      <c r="H24" s="31" t="inlineStr">
        <is>
          <t>COMPLETED PILOT</t>
        </is>
      </c>
      <c r="I24" s="31" t="n"/>
      <c r="J24" s="31" t="n"/>
      <c r="K24" s="31" t="n"/>
    </row>
    <row r="25" ht="24" customHeight="1">
      <c r="A25" s="31" t="inlineStr">
        <is>
          <t>P002</t>
        </is>
      </c>
      <c r="B25" s="31" t="inlineStr">
        <is>
          <t>TDR</t>
        </is>
      </c>
      <c r="C25" s="31" t="n">
        <v>3</v>
      </c>
      <c r="D25" s="46" t="n">
        <v>163.3333333333333</v>
      </c>
      <c r="E25" s="46" t="n">
        <v>415.4379970068027</v>
      </c>
      <c r="F25" s="31" t="inlineStr">
        <is>
          <t>train</t>
        </is>
      </c>
      <c r="G25" s="31" t="n">
        <v>294</v>
      </c>
      <c r="H25" s="31" t="inlineStr">
        <is>
          <t>COMPLETED PILOT</t>
        </is>
      </c>
      <c r="I25" s="31" t="n"/>
      <c r="J25" s="31" t="n"/>
      <c r="K25" s="31" t="n"/>
    </row>
    <row r="26" ht="24" customHeight="1">
      <c r="A26" s="31" t="inlineStr">
        <is>
          <t>P003</t>
        </is>
      </c>
      <c r="B26" s="31" t="inlineStr">
        <is>
          <t>SP</t>
        </is>
      </c>
      <c r="C26" s="31" t="n">
        <v>1</v>
      </c>
      <c r="D26" s="46" t="n">
        <v>173.6085409252669</v>
      </c>
      <c r="E26" s="46" t="n">
        <v>443.7613872597865</v>
      </c>
      <c r="F26" s="31" t="inlineStr">
        <is>
          <t>train</t>
        </is>
      </c>
      <c r="G26" s="31" t="n">
        <v>281</v>
      </c>
      <c r="H26" s="31" t="inlineStr">
        <is>
          <t>COMPLETED PILOT</t>
        </is>
      </c>
      <c r="I26" s="31" t="n"/>
      <c r="J26" s="31" t="n"/>
      <c r="K26" s="31" t="n"/>
    </row>
    <row r="27" ht="24" customHeight="1">
      <c r="A27" s="31" t="inlineStr">
        <is>
          <t>P003</t>
        </is>
      </c>
      <c r="B27" s="31" t="inlineStr">
        <is>
          <t>SP</t>
        </is>
      </c>
      <c r="C27" s="31" t="n">
        <v>2</v>
      </c>
      <c r="D27" s="46" t="n">
        <v>163.3064516129032</v>
      </c>
      <c r="E27" s="46" t="n">
        <v>419.3078790322581</v>
      </c>
      <c r="F27" s="31" t="inlineStr">
        <is>
          <t>train</t>
        </is>
      </c>
      <c r="G27" s="31" t="n">
        <v>310</v>
      </c>
      <c r="H27" s="31" t="inlineStr">
        <is>
          <t>COMPLETED PILOT</t>
        </is>
      </c>
      <c r="I27" s="31" t="n"/>
      <c r="J27" s="31" t="n"/>
      <c r="K27" s="31" t="n"/>
    </row>
    <row r="28" ht="24" customHeight="1">
      <c r="A28" s="31" t="inlineStr">
        <is>
          <t>P003</t>
        </is>
      </c>
      <c r="B28" s="31" t="inlineStr">
        <is>
          <t>SP</t>
        </is>
      </c>
      <c r="C28" s="31" t="n">
        <v>3</v>
      </c>
      <c r="D28" s="46" t="n">
        <v>163.3333333333333</v>
      </c>
      <c r="E28" s="46" t="n">
        <v>416.061334659864</v>
      </c>
      <c r="F28" s="31" t="inlineStr">
        <is>
          <t>train</t>
        </is>
      </c>
      <c r="G28" s="31" t="n">
        <v>294</v>
      </c>
      <c r="H28" s="31" t="inlineStr">
        <is>
          <t>COMPLETED PILOT</t>
        </is>
      </c>
      <c r="I28" s="31" t="n"/>
      <c r="J28" s="31" t="n"/>
      <c r="K28" s="31" t="n"/>
    </row>
    <row r="29" ht="24" customHeight="1">
      <c r="A29" s="31" t="inlineStr">
        <is>
          <t>P003</t>
        </is>
      </c>
      <c r="B29" s="31" t="inlineStr">
        <is>
          <t>DTT</t>
        </is>
      </c>
      <c r="C29" s="31" t="n">
        <v>1</v>
      </c>
      <c r="D29" s="46" t="n">
        <v>172.6120996441281</v>
      </c>
      <c r="E29" s="46" t="n">
        <v>436.5474415658363</v>
      </c>
      <c r="F29" s="31" t="inlineStr">
        <is>
          <t>train</t>
        </is>
      </c>
      <c r="G29" s="31" t="n">
        <v>281</v>
      </c>
      <c r="H29" s="31" t="inlineStr">
        <is>
          <t>COMPLETED PILOT</t>
        </is>
      </c>
      <c r="I29" s="31" t="n"/>
      <c r="J29" s="31" t="n"/>
      <c r="K29" s="31" t="n"/>
    </row>
    <row r="30" ht="24" customHeight="1">
      <c r="A30" s="31" t="inlineStr">
        <is>
          <t>P003</t>
        </is>
      </c>
      <c r="B30" s="31" t="inlineStr">
        <is>
          <t>DTT</t>
        </is>
      </c>
      <c r="C30" s="31" t="n">
        <v>2</v>
      </c>
      <c r="D30" s="46" t="n">
        <v>161.4516129032258</v>
      </c>
      <c r="E30" s="46" t="n">
        <v>410.3462546774193</v>
      </c>
      <c r="F30" s="31" t="inlineStr">
        <is>
          <t>train</t>
        </is>
      </c>
      <c r="G30" s="31" t="n">
        <v>310</v>
      </c>
      <c r="H30" s="31" t="inlineStr">
        <is>
          <t>COMPLETED PILOT</t>
        </is>
      </c>
      <c r="I30" s="31" t="n"/>
      <c r="J30" s="31" t="n"/>
      <c r="K30" s="31" t="n"/>
    </row>
    <row r="31" ht="24" customHeight="1">
      <c r="A31" s="31" t="inlineStr">
        <is>
          <t>P003</t>
        </is>
      </c>
      <c r="B31" s="31" t="inlineStr">
        <is>
          <t>DTT</t>
        </is>
      </c>
      <c r="C31" s="31" t="n">
        <v>3</v>
      </c>
      <c r="D31" s="46" t="n">
        <v>162.4557823129252</v>
      </c>
      <c r="E31" s="46" t="n">
        <v>410.4913660204082</v>
      </c>
      <c r="F31" s="31" t="inlineStr">
        <is>
          <t>train</t>
        </is>
      </c>
      <c r="G31" s="31" t="n">
        <v>294</v>
      </c>
      <c r="H31" s="31" t="inlineStr">
        <is>
          <t>COMPLETED PILOT</t>
        </is>
      </c>
      <c r="I31" s="31" t="n"/>
      <c r="J31" s="31" t="n"/>
      <c r="K31" s="31" t="n"/>
    </row>
    <row r="32" ht="24" customHeight="1">
      <c r="A32" s="31" t="inlineStr">
        <is>
          <t>P003</t>
        </is>
      </c>
      <c r="B32" s="31" t="inlineStr">
        <is>
          <t>TDR</t>
        </is>
      </c>
      <c r="C32" s="31" t="n">
        <v>1</v>
      </c>
      <c r="D32" s="46" t="n">
        <v>173.6085409252669</v>
      </c>
      <c r="E32" s="46" t="n">
        <v>443.7613872597865</v>
      </c>
      <c r="F32" s="31" t="inlineStr">
        <is>
          <t>train</t>
        </is>
      </c>
      <c r="G32" s="31" t="n">
        <v>281</v>
      </c>
      <c r="H32" s="31" t="inlineStr">
        <is>
          <t>COMPLETED PILOT</t>
        </is>
      </c>
      <c r="I32" s="31" t="n"/>
      <c r="J32" s="31" t="n"/>
      <c r="K32" s="31" t="n"/>
    </row>
    <row r="33" ht="24" customHeight="1">
      <c r="A33" s="31" t="inlineStr">
        <is>
          <t>P003</t>
        </is>
      </c>
      <c r="B33" s="31" t="inlineStr">
        <is>
          <t>TDR</t>
        </is>
      </c>
      <c r="C33" s="31" t="n">
        <v>2</v>
      </c>
      <c r="D33" s="46" t="n">
        <v>163.2612903225806</v>
      </c>
      <c r="E33" s="46" t="n">
        <v>418.8758165483871</v>
      </c>
      <c r="F33" s="31" t="inlineStr">
        <is>
          <t>train</t>
        </is>
      </c>
      <c r="G33" s="31" t="n">
        <v>310</v>
      </c>
      <c r="H33" s="31" t="inlineStr">
        <is>
          <t>COMPLETED PILOT</t>
        </is>
      </c>
      <c r="I33" s="31" t="n"/>
      <c r="J33" s="31" t="n"/>
      <c r="K33" s="31" t="n"/>
    </row>
    <row r="34" ht="24" customHeight="1">
      <c r="A34" s="31" t="inlineStr">
        <is>
          <t>P003</t>
        </is>
      </c>
      <c r="B34" s="31" t="inlineStr">
        <is>
          <t>TDR</t>
        </is>
      </c>
      <c r="C34" s="31" t="n">
        <v>3</v>
      </c>
      <c r="D34" s="46" t="n">
        <v>163.3333333333333</v>
      </c>
      <c r="E34" s="46" t="n">
        <v>416.061334659864</v>
      </c>
      <c r="F34" s="31" t="inlineStr">
        <is>
          <t>train</t>
        </is>
      </c>
      <c r="G34" s="31" t="n">
        <v>294</v>
      </c>
      <c r="H34" s="31" t="inlineStr">
        <is>
          <t>COMPLETED PILOT</t>
        </is>
      </c>
      <c r="I34" s="31" t="n"/>
      <c r="J34" s="31" t="n"/>
      <c r="K34" s="31" t="n"/>
    </row>
    <row r="35" ht="24" customHeight="1">
      <c r="A35" s="31" t="inlineStr">
        <is>
          <t>P004</t>
        </is>
      </c>
      <c r="B35" s="31" t="inlineStr">
        <is>
          <t>SP</t>
        </is>
      </c>
      <c r="C35" s="31" t="n">
        <v>1</v>
      </c>
      <c r="D35" s="46" t="n">
        <v>185.7650793650794</v>
      </c>
      <c r="E35" s="46" t="n">
        <v>471.2777379047619</v>
      </c>
      <c r="F35" s="31" t="inlineStr">
        <is>
          <t>train</t>
        </is>
      </c>
      <c r="G35" s="31" t="n">
        <v>315</v>
      </c>
      <c r="H35" s="31" t="inlineStr">
        <is>
          <t>COMPLETED PILOT</t>
        </is>
      </c>
      <c r="I35" s="31" t="n"/>
      <c r="J35" s="31" t="n"/>
      <c r="K35" s="31" t="n"/>
    </row>
    <row r="36" ht="24" customHeight="1">
      <c r="A36" s="31" t="inlineStr">
        <is>
          <t>P004</t>
        </is>
      </c>
      <c r="B36" s="31" t="inlineStr">
        <is>
          <t>SP</t>
        </is>
      </c>
      <c r="C36" s="31" t="n">
        <v>2</v>
      </c>
      <c r="D36" s="46" t="n">
        <v>171.7581120943953</v>
      </c>
      <c r="E36" s="46" t="n">
        <v>436.2050710619469</v>
      </c>
      <c r="F36" s="31" t="inlineStr">
        <is>
          <t>train</t>
        </is>
      </c>
      <c r="G36" s="31" t="n">
        <v>339</v>
      </c>
      <c r="H36" s="31" t="inlineStr">
        <is>
          <t>COMPLETED PILOT</t>
        </is>
      </c>
      <c r="I36" s="31" t="n"/>
      <c r="J36" s="31" t="n"/>
      <c r="K36" s="31" t="n"/>
    </row>
    <row r="37" ht="24" customHeight="1">
      <c r="A37" s="31" t="inlineStr">
        <is>
          <t>P004</t>
        </is>
      </c>
      <c r="B37" s="31" t="inlineStr">
        <is>
          <t>SP</t>
        </is>
      </c>
      <c r="C37" s="31" t="n">
        <v>3</v>
      </c>
      <c r="D37" s="46" t="n">
        <v>178.1939393939394</v>
      </c>
      <c r="E37" s="46" t="n">
        <v>450.4791148484849</v>
      </c>
      <c r="F37" s="31" t="inlineStr">
        <is>
          <t>train</t>
        </is>
      </c>
      <c r="G37" s="31" t="n">
        <v>330</v>
      </c>
      <c r="H37" s="31" t="inlineStr">
        <is>
          <t>COMPLETED PILOT</t>
        </is>
      </c>
      <c r="I37" s="31" t="n"/>
      <c r="J37" s="31" t="n"/>
      <c r="K37" s="31" t="n"/>
    </row>
    <row r="38" ht="24" customHeight="1">
      <c r="A38" s="31" t="inlineStr">
        <is>
          <t>P004</t>
        </is>
      </c>
      <c r="B38" s="31" t="inlineStr">
        <is>
          <t>DTT</t>
        </is>
      </c>
      <c r="C38" s="31" t="n">
        <v>1</v>
      </c>
      <c r="D38" s="46" t="n">
        <v>183.2285714285714</v>
      </c>
      <c r="E38" s="46" t="n">
        <v>460.179704</v>
      </c>
      <c r="F38" s="31" t="inlineStr">
        <is>
          <t>train</t>
        </is>
      </c>
      <c r="G38" s="31" t="n">
        <v>315</v>
      </c>
      <c r="H38" s="31" t="inlineStr">
        <is>
          <t>COMPLETED PILOT</t>
        </is>
      </c>
      <c r="I38" s="31" t="n"/>
      <c r="J38" s="31" t="n"/>
      <c r="K38" s="31" t="n"/>
    </row>
    <row r="39" ht="24" customHeight="1">
      <c r="A39" s="31" t="inlineStr">
        <is>
          <t>P004</t>
        </is>
      </c>
      <c r="B39" s="31" t="inlineStr">
        <is>
          <t>DTT</t>
        </is>
      </c>
      <c r="C39" s="31" t="n">
        <v>2</v>
      </c>
      <c r="D39" s="46" t="n">
        <v>170.7109144542773</v>
      </c>
      <c r="E39" s="46" t="n">
        <v>431.7098348377581</v>
      </c>
      <c r="F39" s="31" t="inlineStr">
        <is>
          <t>train</t>
        </is>
      </c>
      <c r="G39" s="31" t="n">
        <v>339</v>
      </c>
      <c r="H39" s="31" t="inlineStr">
        <is>
          <t>COMPLETED PILOT</t>
        </is>
      </c>
      <c r="I39" s="31" t="n"/>
      <c r="J39" s="31" t="n"/>
      <c r="K39" s="31" t="n"/>
    </row>
    <row r="40" ht="24" customHeight="1">
      <c r="A40" s="31" t="inlineStr">
        <is>
          <t>P004</t>
        </is>
      </c>
      <c r="B40" s="31" t="inlineStr">
        <is>
          <t>DTT</t>
        </is>
      </c>
      <c r="C40" s="31" t="n">
        <v>3</v>
      </c>
      <c r="D40" s="46" t="n">
        <v>175.7909090909091</v>
      </c>
      <c r="E40" s="46" t="n">
        <v>443.2936998484848</v>
      </c>
      <c r="F40" s="31" t="inlineStr">
        <is>
          <t>train</t>
        </is>
      </c>
      <c r="G40" s="31" t="n">
        <v>330</v>
      </c>
      <c r="H40" s="31" t="inlineStr">
        <is>
          <t>COMPLETED PILOT</t>
        </is>
      </c>
      <c r="I40" s="31" t="n"/>
      <c r="J40" s="31" t="n"/>
      <c r="K40" s="31" t="n"/>
    </row>
    <row r="41" ht="24" customHeight="1">
      <c r="A41" s="31" t="inlineStr">
        <is>
          <t>P004</t>
        </is>
      </c>
      <c r="B41" s="31" t="inlineStr">
        <is>
          <t>TDR</t>
        </is>
      </c>
      <c r="C41" s="31" t="n">
        <v>1</v>
      </c>
      <c r="D41" s="46" t="n">
        <v>185.7650793650794</v>
      </c>
      <c r="E41" s="46" t="n">
        <v>471.2777379047619</v>
      </c>
      <c r="F41" s="31" t="inlineStr">
        <is>
          <t>train</t>
        </is>
      </c>
      <c r="G41" s="31" t="n">
        <v>315</v>
      </c>
      <c r="H41" s="31" t="inlineStr">
        <is>
          <t>COMPLETED PILOT</t>
        </is>
      </c>
      <c r="I41" s="31" t="n"/>
      <c r="J41" s="31" t="n"/>
      <c r="K41" s="31" t="n"/>
    </row>
    <row r="42" ht="24" customHeight="1">
      <c r="A42" s="31" t="inlineStr">
        <is>
          <t>P004</t>
        </is>
      </c>
      <c r="B42" s="31" t="inlineStr">
        <is>
          <t>TDR</t>
        </is>
      </c>
      <c r="C42" s="31" t="n">
        <v>2</v>
      </c>
      <c r="D42" s="46" t="n">
        <v>171.4395280235988</v>
      </c>
      <c r="E42" s="46" t="n">
        <v>435.525347079646</v>
      </c>
      <c r="F42" s="31" t="inlineStr">
        <is>
          <t>train</t>
        </is>
      </c>
      <c r="G42" s="31" t="n">
        <v>339</v>
      </c>
      <c r="H42" s="31" t="inlineStr">
        <is>
          <t>COMPLETED PILOT</t>
        </is>
      </c>
      <c r="I42" s="31" t="n"/>
      <c r="J42" s="31" t="n"/>
      <c r="K42" s="31" t="n"/>
    </row>
    <row r="43" ht="24" customHeight="1">
      <c r="A43" s="31" t="inlineStr">
        <is>
          <t>P004</t>
        </is>
      </c>
      <c r="B43" s="31" t="inlineStr">
        <is>
          <t>TDR</t>
        </is>
      </c>
      <c r="C43" s="31" t="n">
        <v>3</v>
      </c>
      <c r="D43" s="46" t="n">
        <v>178</v>
      </c>
      <c r="E43" s="46" t="n">
        <v>448.6713717575757</v>
      </c>
      <c r="F43" s="31" t="inlineStr">
        <is>
          <t>train</t>
        </is>
      </c>
      <c r="G43" s="31" t="n">
        <v>330</v>
      </c>
      <c r="H43" s="31" t="inlineStr">
        <is>
          <t>COMPLETED PILOT</t>
        </is>
      </c>
      <c r="I43" s="31" t="n"/>
      <c r="J43" s="31" t="n"/>
      <c r="K43" s="31" t="n"/>
    </row>
    <row r="44" ht="24" customHeight="1">
      <c r="A44" s="31" t="inlineStr">
        <is>
          <t>P005</t>
        </is>
      </c>
      <c r="B44" s="31" t="inlineStr">
        <is>
          <t>SP</t>
        </is>
      </c>
      <c r="C44" s="31" t="n">
        <v>1</v>
      </c>
      <c r="D44" s="46" t="n">
        <v>185.0984126984127</v>
      </c>
      <c r="E44" s="46" t="n">
        <v>471.9607774603174</v>
      </c>
      <c r="F44" s="31" t="inlineStr">
        <is>
          <t>train</t>
        </is>
      </c>
      <c r="G44" s="31" t="n">
        <v>315</v>
      </c>
      <c r="H44" s="31" t="inlineStr">
        <is>
          <t>COMPLETED PILOT</t>
        </is>
      </c>
      <c r="I44" s="31" t="n"/>
      <c r="J44" s="31" t="n"/>
      <c r="K44" s="31" t="n"/>
    </row>
    <row r="45" ht="24" customHeight="1">
      <c r="A45" s="31" t="inlineStr">
        <is>
          <t>P005</t>
        </is>
      </c>
      <c r="B45" s="31" t="inlineStr">
        <is>
          <t>SP</t>
        </is>
      </c>
      <c r="C45" s="31" t="n">
        <v>2</v>
      </c>
      <c r="D45" s="46" t="n">
        <v>171.3687315634218</v>
      </c>
      <c r="E45" s="46" t="n">
        <v>437.4892674926253</v>
      </c>
      <c r="F45" s="31" t="inlineStr">
        <is>
          <t>train</t>
        </is>
      </c>
      <c r="G45" s="31" t="n">
        <v>339</v>
      </c>
      <c r="H45" s="31" t="inlineStr">
        <is>
          <t>COMPLETED PILOT</t>
        </is>
      </c>
      <c r="I45" s="31" t="n"/>
      <c r="J45" s="31" t="n"/>
      <c r="K45" s="31" t="n"/>
    </row>
    <row r="46" ht="24" customHeight="1">
      <c r="A46" s="31" t="inlineStr">
        <is>
          <t>P005</t>
        </is>
      </c>
      <c r="B46" s="31" t="inlineStr">
        <is>
          <t>SP</t>
        </is>
      </c>
      <c r="C46" s="31" t="n">
        <v>3</v>
      </c>
      <c r="D46" s="46" t="n">
        <v>175.469696969697</v>
      </c>
      <c r="E46" s="46" t="n">
        <v>446.4014891515151</v>
      </c>
      <c r="F46" s="31" t="inlineStr">
        <is>
          <t>train</t>
        </is>
      </c>
      <c r="G46" s="31" t="n">
        <v>330</v>
      </c>
      <c r="H46" s="31" t="inlineStr">
        <is>
          <t>COMPLETED PILOT</t>
        </is>
      </c>
      <c r="I46" s="31" t="n"/>
      <c r="J46" s="31" t="n"/>
      <c r="K46" s="31" t="n"/>
    </row>
    <row r="47" ht="24" customHeight="1">
      <c r="A47" s="31" t="inlineStr">
        <is>
          <t>P005</t>
        </is>
      </c>
      <c r="B47" s="31" t="inlineStr">
        <is>
          <t>DTT</t>
        </is>
      </c>
      <c r="C47" s="31" t="n">
        <v>1</v>
      </c>
      <c r="D47" s="46" t="n">
        <v>182.5047619047619</v>
      </c>
      <c r="E47" s="46" t="n">
        <v>458.9922822539683</v>
      </c>
      <c r="F47" s="31" t="inlineStr">
        <is>
          <t>train</t>
        </is>
      </c>
      <c r="G47" s="31" t="n">
        <v>315</v>
      </c>
      <c r="H47" s="31" t="inlineStr">
        <is>
          <t>COMPLETED PILOT</t>
        </is>
      </c>
      <c r="I47" s="31" t="n"/>
      <c r="J47" s="31" t="n"/>
      <c r="K47" s="31" t="n"/>
    </row>
    <row r="48" ht="24" customHeight="1">
      <c r="A48" s="31" t="inlineStr">
        <is>
          <t>P005</t>
        </is>
      </c>
      <c r="B48" s="31" t="inlineStr">
        <is>
          <t>DTT</t>
        </is>
      </c>
      <c r="C48" s="31" t="n">
        <v>2</v>
      </c>
      <c r="D48" s="46" t="n">
        <v>170.646017699115</v>
      </c>
      <c r="E48" s="46" t="n">
        <v>432.27074640118</v>
      </c>
      <c r="F48" s="31" t="inlineStr">
        <is>
          <t>train</t>
        </is>
      </c>
      <c r="G48" s="31" t="n">
        <v>339</v>
      </c>
      <c r="H48" s="31" t="inlineStr">
        <is>
          <t>COMPLETED PILOT</t>
        </is>
      </c>
      <c r="I48" s="31" t="n"/>
      <c r="J48" s="31" t="n"/>
      <c r="K48" s="31" t="n"/>
    </row>
    <row r="49" ht="24" customHeight="1">
      <c r="A49" s="31" t="inlineStr">
        <is>
          <t>P005</t>
        </is>
      </c>
      <c r="B49" s="31" t="inlineStr">
        <is>
          <t>DTT</t>
        </is>
      </c>
      <c r="C49" s="31" t="n">
        <v>3</v>
      </c>
      <c r="D49" s="46" t="n">
        <v>174.2787878787879</v>
      </c>
      <c r="E49" s="46" t="n">
        <v>439.7557025757576</v>
      </c>
      <c r="F49" s="31" t="inlineStr">
        <is>
          <t>train</t>
        </is>
      </c>
      <c r="G49" s="31" t="n">
        <v>330</v>
      </c>
      <c r="H49" s="31" t="inlineStr">
        <is>
          <t>COMPLETED PILOT</t>
        </is>
      </c>
      <c r="I49" s="31" t="n"/>
      <c r="J49" s="31" t="n"/>
      <c r="K49" s="31" t="n"/>
    </row>
    <row r="50" ht="24" customHeight="1">
      <c r="A50" s="31" t="inlineStr">
        <is>
          <t>P005</t>
        </is>
      </c>
      <c r="B50" s="31" t="inlineStr">
        <is>
          <t>TDR</t>
        </is>
      </c>
      <c r="C50" s="31" t="n">
        <v>1</v>
      </c>
      <c r="D50" s="46" t="n">
        <v>185.0984126984127</v>
      </c>
      <c r="E50" s="46" t="n">
        <v>471.9607774603174</v>
      </c>
      <c r="F50" s="31" t="inlineStr">
        <is>
          <t>train</t>
        </is>
      </c>
      <c r="G50" s="31" t="n">
        <v>315</v>
      </c>
      <c r="H50" s="31" t="inlineStr">
        <is>
          <t>COMPLETED PILOT</t>
        </is>
      </c>
      <c r="I50" s="31" t="n"/>
      <c r="J50" s="31" t="n"/>
      <c r="K50" s="31" t="n"/>
    </row>
    <row r="51" ht="24" customHeight="1">
      <c r="A51" s="31" t="inlineStr">
        <is>
          <t>P005</t>
        </is>
      </c>
      <c r="B51" s="31" t="inlineStr">
        <is>
          <t>TDR</t>
        </is>
      </c>
      <c r="C51" s="31" t="n">
        <v>2</v>
      </c>
      <c r="D51" s="46" t="n">
        <v>171.3687315634218</v>
      </c>
      <c r="E51" s="46" t="n">
        <v>437.4892674926253</v>
      </c>
      <c r="F51" s="31" t="inlineStr">
        <is>
          <t>train</t>
        </is>
      </c>
      <c r="G51" s="31" t="n">
        <v>339</v>
      </c>
      <c r="H51" s="31" t="inlineStr">
        <is>
          <t>COMPLETED PILOT</t>
        </is>
      </c>
      <c r="I51" s="31" t="n"/>
      <c r="J51" s="31" t="n"/>
      <c r="K51" s="31" t="n"/>
    </row>
    <row r="52" ht="24" customHeight="1">
      <c r="A52" s="31" t="inlineStr">
        <is>
          <t>P005</t>
        </is>
      </c>
      <c r="B52" s="31" t="inlineStr">
        <is>
          <t>TDR</t>
        </is>
      </c>
      <c r="C52" s="31" t="n">
        <v>3</v>
      </c>
      <c r="D52" s="46" t="n">
        <v>175.2909090909091</v>
      </c>
      <c r="E52" s="46" t="n">
        <v>445.5555606363636</v>
      </c>
      <c r="F52" s="31" t="inlineStr">
        <is>
          <t>train</t>
        </is>
      </c>
      <c r="G52" s="31" t="n">
        <v>330</v>
      </c>
      <c r="H52" s="31" t="inlineStr">
        <is>
          <t>COMPLETED PILOT</t>
        </is>
      </c>
      <c r="I52" s="31" t="n"/>
      <c r="J52" s="31" t="n"/>
      <c r="K52" s="31" t="n"/>
    </row>
    <row r="53" ht="24" customHeight="1">
      <c r="A53" s="31" t="inlineStr">
        <is>
          <t>P006</t>
        </is>
      </c>
      <c r="B53" s="31" t="inlineStr">
        <is>
          <t>SP</t>
        </is>
      </c>
      <c r="C53" s="31" t="n">
        <v>1</v>
      </c>
      <c r="D53" s="46" t="n">
        <v>184.9396825396825</v>
      </c>
      <c r="E53" s="46" t="n">
        <v>472.1725358730159</v>
      </c>
      <c r="F53" s="31" t="inlineStr">
        <is>
          <t>train</t>
        </is>
      </c>
      <c r="G53" s="31" t="n">
        <v>315</v>
      </c>
      <c r="H53" s="31" t="inlineStr">
        <is>
          <t>COMPLETED PILOT</t>
        </is>
      </c>
      <c r="I53" s="31" t="n"/>
      <c r="J53" s="31" t="n"/>
      <c r="K53" s="31" t="n"/>
    </row>
    <row r="54" ht="24" customHeight="1">
      <c r="A54" s="31" t="inlineStr">
        <is>
          <t>P006</t>
        </is>
      </c>
      <c r="B54" s="31" t="inlineStr">
        <is>
          <t>SP</t>
        </is>
      </c>
      <c r="C54" s="31" t="n">
        <v>2</v>
      </c>
      <c r="D54" s="46" t="n">
        <v>171.3687315634218</v>
      </c>
      <c r="E54" s="46" t="n">
        <v>438.1314618879056</v>
      </c>
      <c r="F54" s="31" t="inlineStr">
        <is>
          <t>train</t>
        </is>
      </c>
      <c r="G54" s="31" t="n">
        <v>339</v>
      </c>
      <c r="H54" s="31" t="inlineStr">
        <is>
          <t>COMPLETED PILOT</t>
        </is>
      </c>
      <c r="I54" s="31" t="n"/>
      <c r="J54" s="31" t="n"/>
      <c r="K54" s="31" t="n"/>
    </row>
    <row r="55" ht="24" customHeight="1">
      <c r="A55" s="31" t="inlineStr">
        <is>
          <t>P006</t>
        </is>
      </c>
      <c r="B55" s="31" t="inlineStr">
        <is>
          <t>SP</t>
        </is>
      </c>
      <c r="C55" s="31" t="n">
        <v>3</v>
      </c>
      <c r="D55" s="46" t="n">
        <v>175.469696969697</v>
      </c>
      <c r="E55" s="46" t="n">
        <v>447.3850987575757</v>
      </c>
      <c r="F55" s="31" t="inlineStr">
        <is>
          <t>train</t>
        </is>
      </c>
      <c r="G55" s="31" t="n">
        <v>330</v>
      </c>
      <c r="H55" s="31" t="inlineStr">
        <is>
          <t>COMPLETED PILOT</t>
        </is>
      </c>
      <c r="I55" s="31" t="n"/>
      <c r="J55" s="31" t="n"/>
      <c r="K55" s="31" t="n"/>
    </row>
    <row r="56" ht="24" customHeight="1">
      <c r="A56" s="31" t="inlineStr">
        <is>
          <t>P006</t>
        </is>
      </c>
      <c r="B56" s="31" t="inlineStr">
        <is>
          <t>DTT</t>
        </is>
      </c>
      <c r="C56" s="31" t="n">
        <v>1</v>
      </c>
      <c r="D56" s="46" t="n">
        <v>182.5047619047619</v>
      </c>
      <c r="E56" s="46" t="n">
        <v>459.3614783809523</v>
      </c>
      <c r="F56" s="31" t="inlineStr">
        <is>
          <t>train</t>
        </is>
      </c>
      <c r="G56" s="31" t="n">
        <v>315</v>
      </c>
      <c r="H56" s="31" t="inlineStr">
        <is>
          <t>COMPLETED PILOT</t>
        </is>
      </c>
      <c r="I56" s="31" t="n"/>
      <c r="J56" s="31" t="n"/>
      <c r="K56" s="31" t="n"/>
    </row>
    <row r="57" ht="24" customHeight="1">
      <c r="A57" s="31" t="inlineStr">
        <is>
          <t>P006</t>
        </is>
      </c>
      <c r="B57" s="31" t="inlineStr">
        <is>
          <t>DTT</t>
        </is>
      </c>
      <c r="C57" s="31" t="n">
        <v>2</v>
      </c>
      <c r="D57" s="46" t="n">
        <v>170.646017699115</v>
      </c>
      <c r="E57" s="46" t="n">
        <v>432.4439161651918</v>
      </c>
      <c r="F57" s="31" t="inlineStr">
        <is>
          <t>train</t>
        </is>
      </c>
      <c r="G57" s="31" t="n">
        <v>339</v>
      </c>
      <c r="H57" s="31" t="inlineStr">
        <is>
          <t>COMPLETED PILOT</t>
        </is>
      </c>
      <c r="I57" s="31" t="n"/>
      <c r="J57" s="31" t="n"/>
      <c r="K57" s="31" t="n"/>
    </row>
    <row r="58" ht="24" customHeight="1">
      <c r="A58" s="31" t="inlineStr">
        <is>
          <t>P006</t>
        </is>
      </c>
      <c r="B58" s="31" t="inlineStr">
        <is>
          <t>DTT</t>
        </is>
      </c>
      <c r="C58" s="31" t="n">
        <v>3</v>
      </c>
      <c r="D58" s="46" t="n">
        <v>174.2787878787879</v>
      </c>
      <c r="E58" s="46" t="n">
        <v>440.3798275454545</v>
      </c>
      <c r="F58" s="31" t="inlineStr">
        <is>
          <t>train</t>
        </is>
      </c>
      <c r="G58" s="31" t="n">
        <v>330</v>
      </c>
      <c r="H58" s="31" t="inlineStr">
        <is>
          <t>COMPLETED PILOT</t>
        </is>
      </c>
      <c r="I58" s="31" t="n"/>
      <c r="J58" s="31" t="n"/>
      <c r="K58" s="31" t="n"/>
    </row>
    <row r="59" ht="24" customHeight="1">
      <c r="A59" s="31" t="inlineStr">
        <is>
          <t>P006</t>
        </is>
      </c>
      <c r="B59" s="31" t="inlineStr">
        <is>
          <t>TDR</t>
        </is>
      </c>
      <c r="C59" s="31" t="n">
        <v>1</v>
      </c>
      <c r="D59" s="46" t="n">
        <v>184.9396825396825</v>
      </c>
      <c r="E59" s="46" t="n">
        <v>472.1725358730159</v>
      </c>
      <c r="F59" s="31" t="inlineStr">
        <is>
          <t>train</t>
        </is>
      </c>
      <c r="G59" s="31" t="n">
        <v>315</v>
      </c>
      <c r="H59" s="31" t="inlineStr">
        <is>
          <t>COMPLETED PILOT</t>
        </is>
      </c>
      <c r="I59" s="31" t="n"/>
      <c r="J59" s="31" t="n"/>
      <c r="K59" s="31" t="n"/>
    </row>
    <row r="60" ht="24" customHeight="1">
      <c r="A60" s="31" t="inlineStr">
        <is>
          <t>P006</t>
        </is>
      </c>
      <c r="B60" s="31" t="inlineStr">
        <is>
          <t>TDR</t>
        </is>
      </c>
      <c r="C60" s="31" t="n">
        <v>2</v>
      </c>
      <c r="D60" s="46" t="n">
        <v>171.3687315634218</v>
      </c>
      <c r="E60" s="46" t="n">
        <v>438.1314618879056</v>
      </c>
      <c r="F60" s="31" t="inlineStr">
        <is>
          <t>train</t>
        </is>
      </c>
      <c r="G60" s="31" t="n">
        <v>339</v>
      </c>
      <c r="H60" s="31" t="inlineStr">
        <is>
          <t>COMPLETED PILOT</t>
        </is>
      </c>
      <c r="I60" s="31" t="n"/>
      <c r="J60" s="31" t="n"/>
      <c r="K60" s="31" t="n"/>
    </row>
    <row r="61" ht="24" customHeight="1">
      <c r="A61" s="31" t="inlineStr">
        <is>
          <t>P006</t>
        </is>
      </c>
      <c r="B61" s="31" t="inlineStr">
        <is>
          <t>TDR</t>
        </is>
      </c>
      <c r="C61" s="31" t="n">
        <v>3</v>
      </c>
      <c r="D61" s="46" t="n">
        <v>175.2909090909091</v>
      </c>
      <c r="E61" s="46" t="n">
        <v>446.45026</v>
      </c>
      <c r="F61" s="31" t="inlineStr">
        <is>
          <t>train</t>
        </is>
      </c>
      <c r="G61" s="31" t="n">
        <v>330</v>
      </c>
      <c r="H61" s="31" t="inlineStr">
        <is>
          <t>COMPLETED PILOT</t>
        </is>
      </c>
      <c r="I61" s="31" t="n"/>
      <c r="J61" s="31" t="n"/>
      <c r="K61" s="31" t="n"/>
    </row>
    <row r="62" ht="24" customHeight="1">
      <c r="A62" s="31" t="inlineStr">
        <is>
          <t>P007</t>
        </is>
      </c>
      <c r="B62" s="31" t="inlineStr">
        <is>
          <t>SP</t>
        </is>
      </c>
      <c r="C62" s="31" t="n">
        <v>1001</v>
      </c>
      <c r="D62" s="46" t="n">
        <v>178.4179566563467</v>
      </c>
      <c r="E62" s="46" t="n">
        <v>450.1533004643963</v>
      </c>
      <c r="F62" s="31" t="inlineStr">
        <is>
          <t>test</t>
        </is>
      </c>
      <c r="G62" s="31" t="n">
        <v>323</v>
      </c>
      <c r="H62" s="31" t="inlineStr">
        <is>
          <t>COMPLETED PILOT</t>
        </is>
      </c>
      <c r="I62" s="31" t="n"/>
      <c r="J62" s="31" t="n"/>
      <c r="K62" s="31" t="n"/>
    </row>
    <row r="63" ht="24" customHeight="1">
      <c r="A63" s="31" t="inlineStr">
        <is>
          <t>P007</t>
        </is>
      </c>
      <c r="B63" s="31" t="inlineStr">
        <is>
          <t>SP</t>
        </is>
      </c>
      <c r="C63" s="31" t="n">
        <v>1002</v>
      </c>
      <c r="D63" s="46" t="n">
        <v>175.838905775076</v>
      </c>
      <c r="E63" s="46" t="n">
        <v>444.8688797264438</v>
      </c>
      <c r="F63" s="31" t="inlineStr">
        <is>
          <t>test</t>
        </is>
      </c>
      <c r="G63" s="31" t="n">
        <v>329</v>
      </c>
      <c r="H63" s="31" t="inlineStr">
        <is>
          <t>COMPLETED PILOT</t>
        </is>
      </c>
      <c r="I63" s="31" t="n"/>
      <c r="J63" s="31" t="n"/>
      <c r="K63" s="31" t="n"/>
    </row>
    <row r="64" ht="24" customHeight="1">
      <c r="A64" s="31" t="inlineStr">
        <is>
          <t>P007</t>
        </is>
      </c>
      <c r="B64" s="31" t="inlineStr">
        <is>
          <t>SP</t>
        </is>
      </c>
      <c r="C64" s="31" t="n">
        <v>1003</v>
      </c>
      <c r="D64" s="46" t="n">
        <v>183.8132183908046</v>
      </c>
      <c r="E64" s="46" t="n">
        <v>466.1785450287356</v>
      </c>
      <c r="F64" s="31" t="inlineStr">
        <is>
          <t>test</t>
        </is>
      </c>
      <c r="G64" s="31" t="n">
        <v>348</v>
      </c>
      <c r="H64" s="31" t="inlineStr">
        <is>
          <t>COMPLETED PILOT</t>
        </is>
      </c>
      <c r="I64" s="31" t="n"/>
      <c r="J64" s="31" t="n"/>
      <c r="K64" s="31" t="n"/>
    </row>
    <row r="65" ht="24" customHeight="1">
      <c r="A65" s="31" t="inlineStr">
        <is>
          <t>P007</t>
        </is>
      </c>
      <c r="B65" s="31" t="inlineStr">
        <is>
          <t>DTT</t>
        </is>
      </c>
      <c r="C65" s="31" t="n">
        <v>1001</v>
      </c>
      <c r="D65" s="46" t="n">
        <v>177.0835913312694</v>
      </c>
      <c r="E65" s="46" t="n">
        <v>443.2465556656347</v>
      </c>
      <c r="F65" s="31" t="inlineStr">
        <is>
          <t>test</t>
        </is>
      </c>
      <c r="G65" s="31" t="n">
        <v>323</v>
      </c>
      <c r="H65" s="31" t="inlineStr">
        <is>
          <t>COMPLETED PILOT</t>
        </is>
      </c>
      <c r="I65" s="31" t="n"/>
      <c r="J65" s="31" t="n"/>
      <c r="K65" s="31" t="n"/>
    </row>
    <row r="66" ht="24" customHeight="1">
      <c r="A66" s="31" t="inlineStr">
        <is>
          <t>P007</t>
        </is>
      </c>
      <c r="B66" s="31" t="inlineStr">
        <is>
          <t>DTT</t>
        </is>
      </c>
      <c r="C66" s="31" t="n">
        <v>1002</v>
      </c>
      <c r="D66" s="46" t="n">
        <v>172.3039513677812</v>
      </c>
      <c r="E66" s="46" t="n">
        <v>433.9224716717325</v>
      </c>
      <c r="F66" s="31" t="inlineStr">
        <is>
          <t>test</t>
        </is>
      </c>
      <c r="G66" s="31" t="n">
        <v>329</v>
      </c>
      <c r="H66" s="31" t="inlineStr">
        <is>
          <t>COMPLETED PILOT</t>
        </is>
      </c>
      <c r="I66" s="31" t="n"/>
      <c r="J66" s="31" t="n"/>
      <c r="K66" s="31" t="n"/>
    </row>
    <row r="67" ht="24" customHeight="1">
      <c r="A67" s="31" t="inlineStr">
        <is>
          <t>P007</t>
        </is>
      </c>
      <c r="B67" s="31" t="inlineStr">
        <is>
          <t>DTT</t>
        </is>
      </c>
      <c r="C67" s="31" t="n">
        <v>1003</v>
      </c>
      <c r="D67" s="46" t="n">
        <v>182.2758620689655</v>
      </c>
      <c r="E67" s="46" t="n">
        <v>458.6719599425288</v>
      </c>
      <c r="F67" s="31" t="inlineStr">
        <is>
          <t>test</t>
        </is>
      </c>
      <c r="G67" s="31" t="n">
        <v>348</v>
      </c>
      <c r="H67" s="31" t="inlineStr">
        <is>
          <t>COMPLETED PILOT</t>
        </is>
      </c>
      <c r="I67" s="31" t="n"/>
      <c r="J67" s="31" t="n"/>
      <c r="K67" s="31" t="n"/>
    </row>
    <row r="68" ht="24" customHeight="1">
      <c r="A68" s="31" t="inlineStr">
        <is>
          <t>P007</t>
        </is>
      </c>
      <c r="B68" s="31" t="inlineStr">
        <is>
          <t>TDR</t>
        </is>
      </c>
      <c r="C68" s="31" t="n">
        <v>1001</v>
      </c>
      <c r="D68" s="46" t="n">
        <v>178.4179566563467</v>
      </c>
      <c r="E68" s="46" t="n">
        <v>450.1533004643963</v>
      </c>
      <c r="F68" s="31" t="inlineStr">
        <is>
          <t>test</t>
        </is>
      </c>
      <c r="G68" s="31" t="n">
        <v>323</v>
      </c>
      <c r="H68" s="31" t="inlineStr">
        <is>
          <t>COMPLETED PILOT</t>
        </is>
      </c>
      <c r="I68" s="31" t="n"/>
      <c r="J68" s="31" t="n"/>
      <c r="K68" s="31" t="n"/>
    </row>
    <row r="69" ht="24" customHeight="1">
      <c r="A69" s="31" t="inlineStr">
        <is>
          <t>P007</t>
        </is>
      </c>
      <c r="B69" s="31" t="inlineStr">
        <is>
          <t>TDR</t>
        </is>
      </c>
      <c r="C69" s="31" t="n">
        <v>1002</v>
      </c>
      <c r="D69" s="46" t="n">
        <v>172.322188449848</v>
      </c>
      <c r="E69" s="46" t="n">
        <v>434.9493590881459</v>
      </c>
      <c r="F69" s="31" t="inlineStr">
        <is>
          <t>test</t>
        </is>
      </c>
      <c r="G69" s="31" t="n">
        <v>329</v>
      </c>
      <c r="H69" s="31" t="inlineStr">
        <is>
          <t>COMPLETED PILOT</t>
        </is>
      </c>
      <c r="I69" s="31" t="n"/>
      <c r="J69" s="31" t="n"/>
      <c r="K69" s="31" t="n"/>
    </row>
    <row r="70" ht="24" customHeight="1">
      <c r="A70" s="31" t="inlineStr">
        <is>
          <t>P007</t>
        </is>
      </c>
      <c r="B70" s="31" t="inlineStr">
        <is>
          <t>TDR</t>
        </is>
      </c>
      <c r="C70" s="31" t="n">
        <v>1003</v>
      </c>
      <c r="D70" s="46" t="n">
        <v>183.7959770114942</v>
      </c>
      <c r="E70" s="46" t="n">
        <v>465.7114431321839</v>
      </c>
      <c r="F70" s="31" t="inlineStr">
        <is>
          <t>test</t>
        </is>
      </c>
      <c r="G70" s="31" t="n">
        <v>348</v>
      </c>
      <c r="H70" s="31" t="inlineStr">
        <is>
          <t>COMPLETED PILOT</t>
        </is>
      </c>
      <c r="I70" s="31" t="n"/>
      <c r="J70" s="31" t="n"/>
      <c r="K70" s="31" t="n"/>
    </row>
    <row r="71" ht="24" customHeight="1">
      <c r="A71" s="31" t="inlineStr">
        <is>
          <t>P008</t>
        </is>
      </c>
      <c r="B71" s="31" t="inlineStr">
        <is>
          <t>SP</t>
        </is>
      </c>
      <c r="C71" s="31" t="n">
        <v>1001</v>
      </c>
      <c r="D71" s="46" t="n">
        <v>177.5170278637771</v>
      </c>
      <c r="E71" s="46" t="n">
        <v>450.1279335603715</v>
      </c>
      <c r="F71" s="31" t="inlineStr">
        <is>
          <t>test</t>
        </is>
      </c>
      <c r="G71" s="31" t="n">
        <v>323</v>
      </c>
      <c r="H71" s="31" t="inlineStr">
        <is>
          <t>COMPLETED PILOT</t>
        </is>
      </c>
      <c r="I71" s="31" t="n"/>
      <c r="J71" s="31" t="n"/>
      <c r="K71" s="31" t="n"/>
    </row>
    <row r="72" ht="24" customHeight="1">
      <c r="A72" s="31" t="inlineStr">
        <is>
          <t>P008</t>
        </is>
      </c>
      <c r="B72" s="31" t="inlineStr">
        <is>
          <t>SP</t>
        </is>
      </c>
      <c r="C72" s="31" t="n">
        <v>1002</v>
      </c>
      <c r="D72" s="46" t="n">
        <v>172.9483282674772</v>
      </c>
      <c r="E72" s="46" t="n">
        <v>440.5237112462006</v>
      </c>
      <c r="F72" s="31" t="inlineStr">
        <is>
          <t>test</t>
        </is>
      </c>
      <c r="G72" s="31" t="n">
        <v>329</v>
      </c>
      <c r="H72" s="31" t="inlineStr">
        <is>
          <t>COMPLETED PILOT</t>
        </is>
      </c>
      <c r="I72" s="31" t="n"/>
      <c r="J72" s="31" t="n"/>
      <c r="K72" s="31" t="n"/>
    </row>
    <row r="73" ht="24" customHeight="1">
      <c r="A73" s="31" t="inlineStr">
        <is>
          <t>P008</t>
        </is>
      </c>
      <c r="B73" s="31" t="inlineStr">
        <is>
          <t>SP</t>
        </is>
      </c>
      <c r="C73" s="31" t="n">
        <v>1003</v>
      </c>
      <c r="D73" s="46" t="n">
        <v>182.2701149425287</v>
      </c>
      <c r="E73" s="46" t="n">
        <v>464.6609339655172</v>
      </c>
      <c r="F73" s="31" t="inlineStr">
        <is>
          <t>test</t>
        </is>
      </c>
      <c r="G73" s="31" t="n">
        <v>348</v>
      </c>
      <c r="H73" s="31" t="inlineStr">
        <is>
          <t>COMPLETED PILOT</t>
        </is>
      </c>
      <c r="I73" s="31" t="n"/>
      <c r="J73" s="31" t="n"/>
      <c r="K73" s="31" t="n"/>
    </row>
    <row r="74" ht="24" customHeight="1">
      <c r="A74" s="31" t="inlineStr">
        <is>
          <t>P008</t>
        </is>
      </c>
      <c r="B74" s="31" t="inlineStr">
        <is>
          <t>DTT</t>
        </is>
      </c>
      <c r="C74" s="31" t="n">
        <v>1001</v>
      </c>
      <c r="D74" s="46" t="n">
        <v>176.71826625387</v>
      </c>
      <c r="E74" s="46" t="n">
        <v>443.9590086687306</v>
      </c>
      <c r="F74" s="31" t="inlineStr">
        <is>
          <t>test</t>
        </is>
      </c>
      <c r="G74" s="31" t="n">
        <v>323</v>
      </c>
      <c r="H74" s="31" t="inlineStr">
        <is>
          <t>COMPLETED PILOT</t>
        </is>
      </c>
      <c r="I74" s="31" t="n"/>
      <c r="J74" s="31" t="n"/>
      <c r="K74" s="31" t="n"/>
    </row>
    <row r="75" ht="24" customHeight="1">
      <c r="A75" s="31" t="inlineStr">
        <is>
          <t>P008</t>
        </is>
      </c>
      <c r="B75" s="31" t="inlineStr">
        <is>
          <t>DTT</t>
        </is>
      </c>
      <c r="C75" s="31" t="n">
        <v>1002</v>
      </c>
      <c r="D75" s="46" t="n">
        <v>169.7173252279635</v>
      </c>
      <c r="E75" s="46" t="n">
        <v>427.8237283282675</v>
      </c>
      <c r="F75" s="31" t="inlineStr">
        <is>
          <t>test</t>
        </is>
      </c>
      <c r="G75" s="31" t="n">
        <v>329</v>
      </c>
      <c r="H75" s="31" t="inlineStr">
        <is>
          <t>COMPLETED PILOT</t>
        </is>
      </c>
      <c r="I75" s="31" t="n"/>
      <c r="J75" s="31" t="n"/>
      <c r="K75" s="31" t="n"/>
    </row>
    <row r="76" ht="24" customHeight="1">
      <c r="A76" s="31" t="inlineStr">
        <is>
          <t>P008</t>
        </is>
      </c>
      <c r="B76" s="31" t="inlineStr">
        <is>
          <t>DTT</t>
        </is>
      </c>
      <c r="C76" s="31" t="n">
        <v>1003</v>
      </c>
      <c r="D76" s="46" t="n">
        <v>179.9626436781609</v>
      </c>
      <c r="E76" s="46" t="n">
        <v>453.1828213218391</v>
      </c>
      <c r="F76" s="31" t="inlineStr">
        <is>
          <t>test</t>
        </is>
      </c>
      <c r="G76" s="31" t="n">
        <v>348</v>
      </c>
      <c r="H76" s="31" t="inlineStr">
        <is>
          <t>COMPLETED PILOT</t>
        </is>
      </c>
      <c r="I76" s="31" t="n"/>
      <c r="J76" s="31" t="n"/>
      <c r="K76" s="31" t="n"/>
    </row>
    <row r="77" ht="24" customHeight="1">
      <c r="A77" s="31" t="inlineStr">
        <is>
          <t>P008</t>
        </is>
      </c>
      <c r="B77" s="31" t="inlineStr">
        <is>
          <t>TDR</t>
        </is>
      </c>
      <c r="C77" s="31" t="n">
        <v>1001</v>
      </c>
      <c r="D77" s="46" t="n">
        <v>177.5170278637771</v>
      </c>
      <c r="E77" s="46" t="n">
        <v>450.1279335603715</v>
      </c>
      <c r="F77" s="31" t="inlineStr">
        <is>
          <t>test</t>
        </is>
      </c>
      <c r="G77" s="31" t="n">
        <v>323</v>
      </c>
      <c r="H77" s="31" t="inlineStr">
        <is>
          <t>COMPLETED PILOT</t>
        </is>
      </c>
      <c r="I77" s="31" t="n"/>
      <c r="J77" s="31" t="n"/>
      <c r="K77" s="31" t="n"/>
    </row>
    <row r="78" ht="24" customHeight="1">
      <c r="A78" s="31" t="inlineStr">
        <is>
          <t>P008</t>
        </is>
      </c>
      <c r="B78" s="31" t="inlineStr">
        <is>
          <t>TDR</t>
        </is>
      </c>
      <c r="C78" s="31" t="n">
        <v>1002</v>
      </c>
      <c r="D78" s="46" t="n">
        <v>172.2310030395137</v>
      </c>
      <c r="E78" s="46" t="n">
        <v>438.2238679027355</v>
      </c>
      <c r="F78" s="31" t="inlineStr">
        <is>
          <t>test</t>
        </is>
      </c>
      <c r="G78" s="31" t="n">
        <v>329</v>
      </c>
      <c r="H78" s="31" t="inlineStr">
        <is>
          <t>COMPLETED PILOT</t>
        </is>
      </c>
      <c r="I78" s="31" t="n"/>
      <c r="J78" s="31" t="n"/>
      <c r="K78" s="31" t="n"/>
    </row>
    <row r="79" ht="24" customHeight="1">
      <c r="A79" s="31" t="inlineStr">
        <is>
          <t>P008</t>
        </is>
      </c>
      <c r="B79" s="31" t="inlineStr">
        <is>
          <t>TDR</t>
        </is>
      </c>
      <c r="C79" s="31" t="n">
        <v>1003</v>
      </c>
      <c r="D79" s="46" t="n">
        <v>182.2701149425287</v>
      </c>
      <c r="E79" s="46" t="n">
        <v>464.6609339655172</v>
      </c>
      <c r="F79" s="31" t="inlineStr">
        <is>
          <t>test</t>
        </is>
      </c>
      <c r="G79" s="31" t="n">
        <v>348</v>
      </c>
      <c r="H79" s="31" t="inlineStr">
        <is>
          <t>COMPLETED PILOT</t>
        </is>
      </c>
      <c r="I79" s="31" t="n"/>
      <c r="J79" s="31" t="n"/>
      <c r="K79" s="31" t="n"/>
    </row>
    <row r="80" ht="24" customHeight="1">
      <c r="A80" s="31" t="inlineStr">
        <is>
          <t>P009</t>
        </is>
      </c>
      <c r="B80" s="31" t="inlineStr">
        <is>
          <t>SP</t>
        </is>
      </c>
      <c r="C80" s="31" t="n">
        <v>1001</v>
      </c>
      <c r="D80" s="46" t="n">
        <v>177.5170278637771</v>
      </c>
      <c r="E80" s="46" t="n">
        <v>450.7848528482972</v>
      </c>
      <c r="F80" s="31" t="inlineStr">
        <is>
          <t>test</t>
        </is>
      </c>
      <c r="G80" s="31" t="n">
        <v>323</v>
      </c>
      <c r="H80" s="31" t="inlineStr">
        <is>
          <t>COMPLETED PILOT</t>
        </is>
      </c>
      <c r="I80" s="31" t="n"/>
      <c r="J80" s="31" t="n"/>
      <c r="K80" s="31" t="n"/>
    </row>
    <row r="81" ht="24" customHeight="1">
      <c r="A81" s="31" t="inlineStr">
        <is>
          <t>P009</t>
        </is>
      </c>
      <c r="B81" s="31" t="inlineStr">
        <is>
          <t>SP</t>
        </is>
      </c>
      <c r="C81" s="31" t="n">
        <v>1002</v>
      </c>
      <c r="D81" s="46" t="n">
        <v>172.9483282674772</v>
      </c>
      <c r="E81" s="46" t="n">
        <v>441.7869049848024</v>
      </c>
      <c r="F81" s="31" t="inlineStr">
        <is>
          <t>test</t>
        </is>
      </c>
      <c r="G81" s="31" t="n">
        <v>329</v>
      </c>
      <c r="H81" s="31" t="inlineStr">
        <is>
          <t>COMPLETED PILOT</t>
        </is>
      </c>
      <c r="I81" s="31" t="n"/>
      <c r="J81" s="31" t="n"/>
      <c r="K81" s="31" t="n"/>
    </row>
    <row r="82" ht="24" customHeight="1">
      <c r="A82" s="31" t="inlineStr">
        <is>
          <t>P009</t>
        </is>
      </c>
      <c r="B82" s="31" t="inlineStr">
        <is>
          <t>SP</t>
        </is>
      </c>
      <c r="C82" s="31" t="n">
        <v>1003</v>
      </c>
      <c r="D82" s="46" t="n">
        <v>182.1293103448276</v>
      </c>
      <c r="E82" s="46" t="n">
        <v>465.2005734482759</v>
      </c>
      <c r="F82" s="31" t="inlineStr">
        <is>
          <t>test</t>
        </is>
      </c>
      <c r="G82" s="31" t="n">
        <v>348</v>
      </c>
      <c r="H82" s="31" t="inlineStr">
        <is>
          <t>COMPLETED PILOT</t>
        </is>
      </c>
      <c r="I82" s="31" t="n"/>
      <c r="J82" s="31" t="n"/>
      <c r="K82" s="31" t="n"/>
    </row>
    <row r="83" ht="24" customHeight="1">
      <c r="A83" s="31" t="inlineStr">
        <is>
          <t>P009</t>
        </is>
      </c>
      <c r="B83" s="31" t="inlineStr">
        <is>
          <t>DTT</t>
        </is>
      </c>
      <c r="C83" s="31" t="n">
        <v>1001</v>
      </c>
      <c r="D83" s="46" t="n">
        <v>176.71826625387</v>
      </c>
      <c r="E83" s="46" t="n">
        <v>444.5415413312693</v>
      </c>
      <c r="F83" s="31" t="inlineStr">
        <is>
          <t>test</t>
        </is>
      </c>
      <c r="G83" s="31" t="n">
        <v>323</v>
      </c>
      <c r="H83" s="31" t="inlineStr">
        <is>
          <t>COMPLETED PILOT</t>
        </is>
      </c>
      <c r="I83" s="31" t="n"/>
      <c r="J83" s="31" t="n"/>
      <c r="K83" s="31" t="n"/>
    </row>
    <row r="84" ht="24" customHeight="1">
      <c r="A84" s="31" t="inlineStr">
        <is>
          <t>P009</t>
        </is>
      </c>
      <c r="B84" s="31" t="inlineStr">
        <is>
          <t>DTT</t>
        </is>
      </c>
      <c r="C84" s="31" t="n">
        <v>1002</v>
      </c>
      <c r="D84" s="46" t="n">
        <v>169.726443768997</v>
      </c>
      <c r="E84" s="46" t="n">
        <v>428.153650212766</v>
      </c>
      <c r="F84" s="31" t="inlineStr">
        <is>
          <t>test</t>
        </is>
      </c>
      <c r="G84" s="31" t="n">
        <v>329</v>
      </c>
      <c r="H84" s="31" t="inlineStr">
        <is>
          <t>COMPLETED PILOT</t>
        </is>
      </c>
      <c r="I84" s="31" t="n"/>
      <c r="J84" s="31" t="n"/>
      <c r="K84" s="31" t="n"/>
    </row>
    <row r="85" ht="24" customHeight="1">
      <c r="A85" s="31" t="inlineStr">
        <is>
          <t>P009</t>
        </is>
      </c>
      <c r="B85" s="31" t="inlineStr">
        <is>
          <t>DTT</t>
        </is>
      </c>
      <c r="C85" s="31" t="n">
        <v>1003</v>
      </c>
      <c r="D85" s="46" t="n">
        <v>179.8304597701149</v>
      </c>
      <c r="E85" s="46" t="n">
        <v>453.4313161494253</v>
      </c>
      <c r="F85" s="31" t="inlineStr">
        <is>
          <t>test</t>
        </is>
      </c>
      <c r="G85" s="31" t="n">
        <v>348</v>
      </c>
      <c r="H85" s="31" t="inlineStr">
        <is>
          <t>COMPLETED PILOT</t>
        </is>
      </c>
      <c r="I85" s="31" t="n"/>
      <c r="J85" s="31" t="n"/>
      <c r="K85" s="31" t="n"/>
    </row>
    <row r="86" ht="24" customHeight="1">
      <c r="A86" s="31" t="inlineStr">
        <is>
          <t>P009</t>
        </is>
      </c>
      <c r="B86" s="31" t="inlineStr">
        <is>
          <t>TDR</t>
        </is>
      </c>
      <c r="C86" s="31" t="n">
        <v>1001</v>
      </c>
      <c r="D86" s="46" t="n">
        <v>177.5170278637771</v>
      </c>
      <c r="E86" s="46" t="n">
        <v>450.7848528482972</v>
      </c>
      <c r="F86" s="31" t="inlineStr">
        <is>
          <t>test</t>
        </is>
      </c>
      <c r="G86" s="31" t="n">
        <v>323</v>
      </c>
      <c r="H86" s="31" t="inlineStr">
        <is>
          <t>COMPLETED PILOT</t>
        </is>
      </c>
      <c r="I86" s="31" t="n"/>
      <c r="J86" s="31" t="n"/>
      <c r="K86" s="31" t="n"/>
    </row>
    <row r="87" ht="24" customHeight="1">
      <c r="A87" s="31" t="inlineStr">
        <is>
          <t>P009</t>
        </is>
      </c>
      <c r="B87" s="31" t="inlineStr">
        <is>
          <t>TDR</t>
        </is>
      </c>
      <c r="C87" s="31" t="n">
        <v>1002</v>
      </c>
      <c r="D87" s="46" t="n">
        <v>172.2310030395137</v>
      </c>
      <c r="E87" s="46" t="n">
        <v>439.3291854407295</v>
      </c>
      <c r="F87" s="31" t="inlineStr">
        <is>
          <t>test</t>
        </is>
      </c>
      <c r="G87" s="31" t="n">
        <v>329</v>
      </c>
      <c r="H87" s="31" t="inlineStr">
        <is>
          <t>COMPLETED PILOT</t>
        </is>
      </c>
      <c r="I87" s="31" t="n"/>
      <c r="J87" s="31" t="n"/>
      <c r="K87" s="31" t="n"/>
    </row>
    <row r="88" ht="24" customHeight="1">
      <c r="A88" s="31" t="inlineStr">
        <is>
          <t>P009</t>
        </is>
      </c>
      <c r="B88" s="31" t="inlineStr">
        <is>
          <t>TDR</t>
        </is>
      </c>
      <c r="C88" s="31" t="n">
        <v>1003</v>
      </c>
      <c r="D88" s="46" t="n">
        <v>182.1293103448276</v>
      </c>
      <c r="E88" s="46" t="n">
        <v>465.2005734482759</v>
      </c>
      <c r="F88" s="31" t="inlineStr">
        <is>
          <t>test</t>
        </is>
      </c>
      <c r="G88" s="31" t="n">
        <v>348</v>
      </c>
      <c r="H88" s="31" t="inlineStr">
        <is>
          <t>COMPLETED PILOT</t>
        </is>
      </c>
      <c r="I88" s="31" t="n"/>
      <c r="J88" s="31" t="n"/>
      <c r="K88" s="31" t="n"/>
    </row>
    <row r="89" ht="24" customHeight="1">
      <c r="A89" s="31" t="inlineStr">
        <is>
          <t>P010</t>
        </is>
      </c>
      <c r="B89" s="31" t="inlineStr">
        <is>
          <t>SP</t>
        </is>
      </c>
      <c r="C89" s="31" t="n">
        <v>1</v>
      </c>
      <c r="D89" s="46" t="n">
        <v>212.7513227513228</v>
      </c>
      <c r="E89" s="46" t="n">
        <v>541.5985044973545</v>
      </c>
      <c r="F89" s="31" t="inlineStr">
        <is>
          <t>train</t>
        </is>
      </c>
      <c r="G89" s="31" t="n">
        <v>378</v>
      </c>
      <c r="H89" s="31" t="inlineStr">
        <is>
          <t>COMPLETED PILOT</t>
        </is>
      </c>
      <c r="I89" s="31" t="n"/>
      <c r="J89" s="31" t="n"/>
      <c r="K89" s="31" t="n"/>
    </row>
    <row r="90" ht="24" customHeight="1">
      <c r="A90" s="31" t="inlineStr">
        <is>
          <t>P010</t>
        </is>
      </c>
      <c r="B90" s="31" t="inlineStr">
        <is>
          <t>SP</t>
        </is>
      </c>
      <c r="C90" s="31" t="n">
        <v>2</v>
      </c>
      <c r="D90" s="46" t="n">
        <v>192.1328125</v>
      </c>
      <c r="E90" s="46" t="n">
        <v>488.4514061197917</v>
      </c>
      <c r="F90" s="31" t="inlineStr">
        <is>
          <t>train</t>
        </is>
      </c>
      <c r="G90" s="31" t="n">
        <v>384</v>
      </c>
      <c r="H90" s="31" t="inlineStr">
        <is>
          <t>COMPLETED PILOT</t>
        </is>
      </c>
      <c r="I90" s="31" t="n"/>
      <c r="J90" s="31" t="n"/>
      <c r="K90" s="31" t="n"/>
    </row>
    <row r="91" ht="24" customHeight="1">
      <c r="A91" s="31" t="inlineStr">
        <is>
          <t>P010</t>
        </is>
      </c>
      <c r="B91" s="31" t="inlineStr">
        <is>
          <t>SP</t>
        </is>
      </c>
      <c r="C91" s="31" t="n">
        <v>3</v>
      </c>
      <c r="D91" s="46" t="n">
        <v>208.2493765586035</v>
      </c>
      <c r="E91" s="46" t="n">
        <v>530.6337890024938</v>
      </c>
      <c r="F91" s="31" t="inlineStr">
        <is>
          <t>train</t>
        </is>
      </c>
      <c r="G91" s="31" t="n">
        <v>401</v>
      </c>
      <c r="H91" s="31" t="inlineStr">
        <is>
          <t>COMPLETED PILOT</t>
        </is>
      </c>
      <c r="I91" s="31" t="n"/>
      <c r="J91" s="31" t="n"/>
      <c r="K91" s="31" t="n"/>
    </row>
    <row r="92" ht="24" customHeight="1">
      <c r="A92" s="31" t="inlineStr">
        <is>
          <t>P010</t>
        </is>
      </c>
      <c r="B92" s="31" t="inlineStr">
        <is>
          <t>DTT</t>
        </is>
      </c>
      <c r="C92" s="31" t="n">
        <v>1</v>
      </c>
      <c r="D92" s="46" t="n">
        <v>200.1111111111111</v>
      </c>
      <c r="E92" s="46" t="n">
        <v>503.4866307936508</v>
      </c>
      <c r="F92" s="31" t="inlineStr">
        <is>
          <t>train</t>
        </is>
      </c>
      <c r="G92" s="31" t="n">
        <v>378</v>
      </c>
      <c r="H92" s="31" t="inlineStr">
        <is>
          <t>COMPLETED PILOT</t>
        </is>
      </c>
      <c r="I92" s="31" t="n"/>
      <c r="J92" s="31" t="n"/>
      <c r="K92" s="31" t="n"/>
    </row>
    <row r="93" ht="24" customHeight="1">
      <c r="A93" s="31" t="inlineStr">
        <is>
          <t>P010</t>
        </is>
      </c>
      <c r="B93" s="31" t="inlineStr">
        <is>
          <t>DTT</t>
        </is>
      </c>
      <c r="C93" s="31" t="n">
        <v>2</v>
      </c>
      <c r="D93" s="46" t="n">
        <v>183.4322916666667</v>
      </c>
      <c r="E93" s="46" t="n">
        <v>462.4248757291667</v>
      </c>
      <c r="F93" s="31" t="inlineStr">
        <is>
          <t>train</t>
        </is>
      </c>
      <c r="G93" s="31" t="n">
        <v>384</v>
      </c>
      <c r="H93" s="31" t="inlineStr">
        <is>
          <t>COMPLETED PILOT</t>
        </is>
      </c>
      <c r="I93" s="31" t="n"/>
      <c r="J93" s="31" t="n"/>
      <c r="K93" s="31" t="n"/>
    </row>
    <row r="94" ht="24" customHeight="1">
      <c r="A94" s="31" t="inlineStr">
        <is>
          <t>P010</t>
        </is>
      </c>
      <c r="B94" s="31" t="inlineStr">
        <is>
          <t>DTT</t>
        </is>
      </c>
      <c r="C94" s="31" t="n">
        <v>3</v>
      </c>
      <c r="D94" s="46" t="n">
        <v>193.1047381546135</v>
      </c>
      <c r="E94" s="46" t="n">
        <v>485.8895841396509</v>
      </c>
      <c r="F94" s="31" t="inlineStr">
        <is>
          <t>train</t>
        </is>
      </c>
      <c r="G94" s="31" t="n">
        <v>401</v>
      </c>
      <c r="H94" s="31" t="inlineStr">
        <is>
          <t>COMPLETED PILOT</t>
        </is>
      </c>
      <c r="I94" s="31" t="n"/>
      <c r="J94" s="31" t="n"/>
      <c r="K94" s="31" t="n"/>
    </row>
    <row r="95" ht="24" customHeight="1">
      <c r="A95" s="31" t="inlineStr">
        <is>
          <t>P010</t>
        </is>
      </c>
      <c r="B95" s="31" t="inlineStr">
        <is>
          <t>TDR</t>
        </is>
      </c>
      <c r="C95" s="31" t="n">
        <v>1</v>
      </c>
      <c r="D95" s="46" t="n">
        <v>202.4338624338624</v>
      </c>
      <c r="E95" s="46" t="n">
        <v>512.5530856878307</v>
      </c>
      <c r="F95" s="31" t="inlineStr">
        <is>
          <t>train</t>
        </is>
      </c>
      <c r="G95" s="31" t="n">
        <v>378</v>
      </c>
      <c r="H95" s="31" t="inlineStr">
        <is>
          <t>COMPLETED PILOT</t>
        </is>
      </c>
      <c r="I95" s="31" t="n"/>
      <c r="J95" s="31" t="n"/>
      <c r="K95" s="31" t="n"/>
    </row>
    <row r="96" ht="24" customHeight="1">
      <c r="A96" s="31" t="inlineStr">
        <is>
          <t>P010</t>
        </is>
      </c>
      <c r="B96" s="31" t="inlineStr">
        <is>
          <t>TDR</t>
        </is>
      </c>
      <c r="C96" s="31" t="n">
        <v>2</v>
      </c>
      <c r="D96" s="46" t="n">
        <v>188.0208333333333</v>
      </c>
      <c r="E96" s="46" t="n">
        <v>473.0894629427083</v>
      </c>
      <c r="F96" s="31" t="inlineStr">
        <is>
          <t>train</t>
        </is>
      </c>
      <c r="G96" s="31" t="n">
        <v>384</v>
      </c>
      <c r="H96" s="31" t="inlineStr">
        <is>
          <t>COMPLETED PILOT</t>
        </is>
      </c>
      <c r="I96" s="31" t="n"/>
      <c r="J96" s="31" t="n"/>
      <c r="K96" s="31" t="n"/>
    </row>
    <row r="97" ht="24" customHeight="1">
      <c r="A97" s="31" t="inlineStr">
        <is>
          <t>P010</t>
        </is>
      </c>
      <c r="B97" s="31" t="inlineStr">
        <is>
          <t>TDR</t>
        </is>
      </c>
      <c r="C97" s="31" t="n">
        <v>3</v>
      </c>
      <c r="D97" s="46" t="n">
        <v>202.3341645885287</v>
      </c>
      <c r="E97" s="46" t="n">
        <v>511.7319072319202</v>
      </c>
      <c r="F97" s="31" t="inlineStr">
        <is>
          <t>train</t>
        </is>
      </c>
      <c r="G97" s="31" t="n">
        <v>401</v>
      </c>
      <c r="H97" s="31" t="inlineStr">
        <is>
          <t>COMPLETED PILOT</t>
        </is>
      </c>
      <c r="I97" s="31" t="n"/>
      <c r="J97" s="31" t="n"/>
      <c r="K97" s="31" t="n"/>
    </row>
    <row r="98" ht="24" customHeight="1">
      <c r="A98" s="31" t="inlineStr">
        <is>
          <t>P011</t>
        </is>
      </c>
      <c r="B98" s="31" t="inlineStr">
        <is>
          <t>SP</t>
        </is>
      </c>
      <c r="C98" s="31" t="n">
        <v>1</v>
      </c>
      <c r="D98" s="46" t="n">
        <v>201.7962962962963</v>
      </c>
      <c r="E98" s="46" t="n">
        <v>515.0933662698412</v>
      </c>
      <c r="F98" s="31" t="inlineStr">
        <is>
          <t>train</t>
        </is>
      </c>
      <c r="G98" s="31" t="n">
        <v>378</v>
      </c>
      <c r="H98" s="31" t="inlineStr">
        <is>
          <t>COMPLETED PILOT</t>
        </is>
      </c>
      <c r="I98" s="31" t="n"/>
      <c r="J98" s="31" t="n"/>
      <c r="K98" s="31" t="n"/>
    </row>
    <row r="99" ht="24" customHeight="1">
      <c r="A99" s="31" t="inlineStr">
        <is>
          <t>P011</t>
        </is>
      </c>
      <c r="B99" s="31" t="inlineStr">
        <is>
          <t>SP</t>
        </is>
      </c>
      <c r="C99" s="31" t="n">
        <v>2</v>
      </c>
      <c r="D99" s="46" t="n">
        <v>184.7109375</v>
      </c>
      <c r="E99" s="46" t="n">
        <v>471.5488276041667</v>
      </c>
      <c r="F99" s="31" t="inlineStr">
        <is>
          <t>train</t>
        </is>
      </c>
      <c r="G99" s="31" t="n">
        <v>384</v>
      </c>
      <c r="H99" s="31" t="inlineStr">
        <is>
          <t>COMPLETED PILOT</t>
        </is>
      </c>
      <c r="I99" s="31" t="n"/>
      <c r="J99" s="31" t="n"/>
      <c r="K99" s="31" t="n"/>
    </row>
    <row r="100" ht="24" customHeight="1">
      <c r="A100" s="31" t="inlineStr">
        <is>
          <t>P011</t>
        </is>
      </c>
      <c r="B100" s="31" t="inlineStr">
        <is>
          <t>SP</t>
        </is>
      </c>
      <c r="C100" s="31" t="n">
        <v>3</v>
      </c>
      <c r="D100" s="46" t="n">
        <v>196.6084788029925</v>
      </c>
      <c r="E100" s="46" t="n">
        <v>502.6939371072319</v>
      </c>
      <c r="F100" s="31" t="inlineStr">
        <is>
          <t>train</t>
        </is>
      </c>
      <c r="G100" s="31" t="n">
        <v>401</v>
      </c>
      <c r="H100" s="31" t="inlineStr">
        <is>
          <t>COMPLETED PILOT</t>
        </is>
      </c>
      <c r="I100" s="31" t="n"/>
      <c r="J100" s="31" t="n"/>
      <c r="K100" s="31" t="n"/>
    </row>
    <row r="101" ht="24" customHeight="1">
      <c r="A101" s="31" t="inlineStr">
        <is>
          <t>P011</t>
        </is>
      </c>
      <c r="B101" s="31" t="inlineStr">
        <is>
          <t>DTT</t>
        </is>
      </c>
      <c r="C101" s="31" t="n">
        <v>1</v>
      </c>
      <c r="D101" s="46" t="n">
        <v>198.8068783068783</v>
      </c>
      <c r="E101" s="46" t="n">
        <v>499.7316762169312</v>
      </c>
      <c r="F101" s="31" t="inlineStr">
        <is>
          <t>train</t>
        </is>
      </c>
      <c r="G101" s="31" t="n">
        <v>378</v>
      </c>
      <c r="H101" s="31" t="inlineStr">
        <is>
          <t>COMPLETED PILOT</t>
        </is>
      </c>
      <c r="I101" s="31" t="n"/>
      <c r="J101" s="31" t="n"/>
      <c r="K101" s="31" t="n"/>
    </row>
    <row r="102" ht="24" customHeight="1">
      <c r="A102" s="31" t="inlineStr">
        <is>
          <t>P011</t>
        </is>
      </c>
      <c r="B102" s="31" t="inlineStr">
        <is>
          <t>DTT</t>
        </is>
      </c>
      <c r="C102" s="31" t="n">
        <v>2</v>
      </c>
      <c r="D102" s="46" t="n">
        <v>182.8958333333333</v>
      </c>
      <c r="E102" s="46" t="n">
        <v>461.6569844270833</v>
      </c>
      <c r="F102" s="31" t="inlineStr">
        <is>
          <t>train</t>
        </is>
      </c>
      <c r="G102" s="31" t="n">
        <v>384</v>
      </c>
      <c r="H102" s="31" t="inlineStr">
        <is>
          <t>COMPLETED PILOT</t>
        </is>
      </c>
      <c r="I102" s="31" t="n"/>
      <c r="J102" s="31" t="n"/>
      <c r="K102" s="31" t="n"/>
    </row>
    <row r="103" ht="24" customHeight="1">
      <c r="A103" s="31" t="inlineStr">
        <is>
          <t>P011</t>
        </is>
      </c>
      <c r="B103" s="31" t="inlineStr">
        <is>
          <t>DTT</t>
        </is>
      </c>
      <c r="C103" s="31" t="n">
        <v>3</v>
      </c>
      <c r="D103" s="46" t="n">
        <v>193.5062344139651</v>
      </c>
      <c r="E103" s="46" t="n">
        <v>487.9227533665835</v>
      </c>
      <c r="F103" s="31" t="inlineStr">
        <is>
          <t>train</t>
        </is>
      </c>
      <c r="G103" s="31" t="n">
        <v>401</v>
      </c>
      <c r="H103" s="31" t="inlineStr">
        <is>
          <t>COMPLETED PILOT</t>
        </is>
      </c>
      <c r="I103" s="31" t="n"/>
      <c r="J103" s="31" t="n"/>
      <c r="K103" s="31" t="n"/>
    </row>
    <row r="104" ht="24" customHeight="1">
      <c r="A104" s="31" t="inlineStr">
        <is>
          <t>P011</t>
        </is>
      </c>
      <c r="B104" s="31" t="inlineStr">
        <is>
          <t>TDR</t>
        </is>
      </c>
      <c r="C104" s="31" t="n">
        <v>1</v>
      </c>
      <c r="D104" s="46" t="n">
        <v>201.6164021164021</v>
      </c>
      <c r="E104" s="46" t="n">
        <v>513.8471875396825</v>
      </c>
      <c r="F104" s="31" t="inlineStr">
        <is>
          <t>train</t>
        </is>
      </c>
      <c r="G104" s="31" t="n">
        <v>378</v>
      </c>
      <c r="H104" s="31" t="inlineStr">
        <is>
          <t>COMPLETED PILOT</t>
        </is>
      </c>
      <c r="I104" s="31" t="n"/>
      <c r="J104" s="31" t="n"/>
      <c r="K104" s="31" t="n"/>
    </row>
    <row r="105" ht="24" customHeight="1">
      <c r="A105" s="31" t="inlineStr">
        <is>
          <t>P011</t>
        </is>
      </c>
      <c r="B105" s="31" t="inlineStr">
        <is>
          <t>TDR</t>
        </is>
      </c>
      <c r="C105" s="31" t="n">
        <v>2</v>
      </c>
      <c r="D105" s="46" t="n">
        <v>184.7109375</v>
      </c>
      <c r="E105" s="46" t="n">
        <v>471.5488276041667</v>
      </c>
      <c r="F105" s="31" t="inlineStr">
        <is>
          <t>train</t>
        </is>
      </c>
      <c r="G105" s="31" t="n">
        <v>384</v>
      </c>
      <c r="H105" s="31" t="inlineStr">
        <is>
          <t>COMPLETED PILOT</t>
        </is>
      </c>
      <c r="I105" s="31" t="n"/>
      <c r="J105" s="31" t="n"/>
      <c r="K105" s="31" t="n"/>
    </row>
    <row r="106" ht="24" customHeight="1">
      <c r="A106" s="31" t="inlineStr">
        <is>
          <t>P011</t>
        </is>
      </c>
      <c r="B106" s="31" t="inlineStr">
        <is>
          <t>TDR</t>
        </is>
      </c>
      <c r="C106" s="31" t="n">
        <v>3</v>
      </c>
      <c r="D106" s="46" t="n">
        <v>195.3291770573566</v>
      </c>
      <c r="E106" s="46" t="n">
        <v>497.0380637655861</v>
      </c>
      <c r="F106" s="31" t="inlineStr">
        <is>
          <t>train</t>
        </is>
      </c>
      <c r="G106" s="31" t="n">
        <v>401</v>
      </c>
      <c r="H106" s="31" t="inlineStr">
        <is>
          <t>COMPLETED PILOT</t>
        </is>
      </c>
      <c r="I106" s="31" t="n"/>
      <c r="J106" s="31" t="n"/>
      <c r="K106" s="31" t="n"/>
    </row>
    <row r="107" ht="24" customHeight="1">
      <c r="A107" s="31" t="inlineStr">
        <is>
          <t>P012</t>
        </is>
      </c>
      <c r="B107" s="31" t="inlineStr">
        <is>
          <t>SP</t>
        </is>
      </c>
      <c r="C107" s="31" t="n">
        <v>1</v>
      </c>
      <c r="D107" s="46" t="n">
        <v>201.6587301587302</v>
      </c>
      <c r="E107" s="46" t="n">
        <v>515.8142114814815</v>
      </c>
      <c r="F107" s="31" t="inlineStr">
        <is>
          <t>train</t>
        </is>
      </c>
      <c r="G107" s="31" t="n">
        <v>378</v>
      </c>
      <c r="H107" s="31" t="inlineStr">
        <is>
          <t>COMPLETED PILOT</t>
        </is>
      </c>
      <c r="I107" s="31" t="n"/>
      <c r="J107" s="31" t="n"/>
      <c r="K107" s="31" t="n"/>
    </row>
    <row r="108" ht="24" customHeight="1">
      <c r="A108" s="31" t="inlineStr">
        <is>
          <t>P012</t>
        </is>
      </c>
      <c r="B108" s="31" t="inlineStr">
        <is>
          <t>SP</t>
        </is>
      </c>
      <c r="C108" s="31" t="n">
        <v>2</v>
      </c>
      <c r="D108" s="46" t="n">
        <v>184.7109375</v>
      </c>
      <c r="E108" s="46" t="n">
        <v>472.477067421875</v>
      </c>
      <c r="F108" s="31" t="inlineStr">
        <is>
          <t>train</t>
        </is>
      </c>
      <c r="G108" s="31" t="n">
        <v>384</v>
      </c>
      <c r="H108" s="31" t="inlineStr">
        <is>
          <t>COMPLETED PILOT</t>
        </is>
      </c>
      <c r="I108" s="31" t="n"/>
      <c r="J108" s="31" t="n"/>
      <c r="K108" s="31" t="n"/>
    </row>
    <row r="109" ht="24" customHeight="1">
      <c r="A109" s="31" t="inlineStr">
        <is>
          <t>P012</t>
        </is>
      </c>
      <c r="B109" s="31" t="inlineStr">
        <is>
          <t>SP</t>
        </is>
      </c>
      <c r="C109" s="31" t="n">
        <v>3</v>
      </c>
      <c r="D109" s="46" t="n">
        <v>195.8902743142145</v>
      </c>
      <c r="E109" s="46" t="n">
        <v>501.8590615710723</v>
      </c>
      <c r="F109" s="31" t="inlineStr">
        <is>
          <t>train</t>
        </is>
      </c>
      <c r="G109" s="31" t="n">
        <v>401</v>
      </c>
      <c r="H109" s="31" t="inlineStr">
        <is>
          <t>COMPLETED PILOT</t>
        </is>
      </c>
      <c r="I109" s="31" t="n"/>
      <c r="J109" s="31" t="n"/>
      <c r="K109" s="31" t="n"/>
    </row>
    <row r="110" ht="24" customHeight="1">
      <c r="A110" s="31" t="inlineStr">
        <is>
          <t>P012</t>
        </is>
      </c>
      <c r="B110" s="31" t="inlineStr">
        <is>
          <t>DTT</t>
        </is>
      </c>
      <c r="C110" s="31" t="n">
        <v>1</v>
      </c>
      <c r="D110" s="46" t="n">
        <v>198.7989417989418</v>
      </c>
      <c r="E110" s="46" t="n">
        <v>501.1803584126984</v>
      </c>
      <c r="F110" s="31" t="inlineStr">
        <is>
          <t>train</t>
        </is>
      </c>
      <c r="G110" s="31" t="n">
        <v>378</v>
      </c>
      <c r="H110" s="31" t="inlineStr">
        <is>
          <t>COMPLETED PILOT</t>
        </is>
      </c>
      <c r="I110" s="31" t="n"/>
      <c r="J110" s="31" t="n"/>
      <c r="K110" s="31" t="n"/>
    </row>
    <row r="111" ht="24" customHeight="1">
      <c r="A111" s="31" t="inlineStr">
        <is>
          <t>P012</t>
        </is>
      </c>
      <c r="B111" s="31" t="inlineStr">
        <is>
          <t>DTT</t>
        </is>
      </c>
      <c r="C111" s="31" t="n">
        <v>2</v>
      </c>
      <c r="D111" s="46" t="n">
        <v>182.8958333333333</v>
      </c>
      <c r="E111" s="46" t="n">
        <v>461.818554609375</v>
      </c>
      <c r="F111" s="31" t="inlineStr">
        <is>
          <t>train</t>
        </is>
      </c>
      <c r="G111" s="31" t="n">
        <v>384</v>
      </c>
      <c r="H111" s="31" t="inlineStr">
        <is>
          <t>COMPLETED PILOT</t>
        </is>
      </c>
      <c r="I111" s="31" t="n"/>
      <c r="J111" s="31" t="n"/>
      <c r="K111" s="31" t="n"/>
    </row>
    <row r="112" ht="24" customHeight="1">
      <c r="A112" s="31" t="inlineStr">
        <is>
          <t>P012</t>
        </is>
      </c>
      <c r="B112" s="31" t="inlineStr">
        <is>
          <t>DTT</t>
        </is>
      </c>
      <c r="C112" s="31" t="n">
        <v>3</v>
      </c>
      <c r="D112" s="46" t="n">
        <v>192.788029925187</v>
      </c>
      <c r="E112" s="46" t="n">
        <v>486.6434851371571</v>
      </c>
      <c r="F112" s="31" t="inlineStr">
        <is>
          <t>train</t>
        </is>
      </c>
      <c r="G112" s="31" t="n">
        <v>401</v>
      </c>
      <c r="H112" s="31" t="inlineStr">
        <is>
          <t>COMPLETED PILOT</t>
        </is>
      </c>
      <c r="I112" s="31" t="n"/>
      <c r="J112" s="31" t="n"/>
      <c r="K112" s="31" t="n"/>
    </row>
    <row r="113" ht="24" customHeight="1">
      <c r="A113" s="31" t="inlineStr">
        <is>
          <t>P012</t>
        </is>
      </c>
      <c r="B113" s="31" t="inlineStr">
        <is>
          <t>TDR</t>
        </is>
      </c>
      <c r="C113" s="31" t="n">
        <v>1</v>
      </c>
      <c r="D113" s="46" t="n">
        <v>201.478835978836</v>
      </c>
      <c r="E113" s="46" t="n">
        <v>514.5680327513228</v>
      </c>
      <c r="F113" s="31" t="inlineStr">
        <is>
          <t>train</t>
        </is>
      </c>
      <c r="G113" s="31" t="n">
        <v>378</v>
      </c>
      <c r="H113" s="31" t="inlineStr">
        <is>
          <t>COMPLETED PILOT</t>
        </is>
      </c>
      <c r="I113" s="31" t="n"/>
      <c r="J113" s="31" t="n"/>
      <c r="K113" s="31" t="n"/>
    </row>
    <row r="114" ht="24" customHeight="1">
      <c r="A114" s="31" t="inlineStr">
        <is>
          <t>P012</t>
        </is>
      </c>
      <c r="B114" s="31" t="inlineStr">
        <is>
          <t>TDR</t>
        </is>
      </c>
      <c r="C114" s="31" t="n">
        <v>2</v>
      </c>
      <c r="D114" s="46" t="n">
        <v>184.7109375</v>
      </c>
      <c r="E114" s="46" t="n">
        <v>472.477067421875</v>
      </c>
      <c r="F114" s="31" t="inlineStr">
        <is>
          <t>train</t>
        </is>
      </c>
      <c r="G114" s="31" t="n">
        <v>384</v>
      </c>
      <c r="H114" s="31" t="inlineStr">
        <is>
          <t>COMPLETED PILOT</t>
        </is>
      </c>
      <c r="I114" s="31" t="n"/>
      <c r="J114" s="31" t="n"/>
      <c r="K114" s="31" t="n"/>
    </row>
    <row r="115" ht="24" customHeight="1">
      <c r="A115" s="31" t="inlineStr">
        <is>
          <t>P012</t>
        </is>
      </c>
      <c r="B115" s="31" t="inlineStr">
        <is>
          <t>TDR</t>
        </is>
      </c>
      <c r="C115" s="31" t="n">
        <v>3</v>
      </c>
      <c r="D115" s="46" t="n">
        <v>194.6109725685785</v>
      </c>
      <c r="E115" s="46" t="n">
        <v>496.2031882294264</v>
      </c>
      <c r="F115" s="31" t="inlineStr">
        <is>
          <t>train</t>
        </is>
      </c>
      <c r="G115" s="31" t="n">
        <v>401</v>
      </c>
      <c r="H115" s="31" t="inlineStr">
        <is>
          <t>COMPLETED PILOT</t>
        </is>
      </c>
      <c r="I115" s="31" t="n"/>
      <c r="J115" s="31" t="n"/>
      <c r="K115" s="31" t="n"/>
    </row>
    <row r="116" ht="24" customHeight="1">
      <c r="A116" s="31" t="inlineStr">
        <is>
          <t>P013</t>
        </is>
      </c>
      <c r="B116" s="31" t="inlineStr">
        <is>
          <t>SP</t>
        </is>
      </c>
      <c r="C116" s="31" t="n">
        <v>1</v>
      </c>
      <c r="D116" s="46" t="n">
        <v>236.8987654320988</v>
      </c>
      <c r="E116" s="46" t="n">
        <v>612.8491764691358</v>
      </c>
      <c r="F116" s="31" t="inlineStr">
        <is>
          <t>train</t>
        </is>
      </c>
      <c r="G116" s="31" t="n">
        <v>405</v>
      </c>
      <c r="H116" s="31" t="inlineStr">
        <is>
          <t>COMPLETED PILOT</t>
        </is>
      </c>
      <c r="I116" s="31" t="n"/>
      <c r="J116" s="31" t="n"/>
      <c r="K116" s="31" t="n"/>
    </row>
    <row r="117" ht="24" customHeight="1">
      <c r="A117" s="31" t="inlineStr">
        <is>
          <t>P013</t>
        </is>
      </c>
      <c r="B117" s="31" t="inlineStr">
        <is>
          <t>SP</t>
        </is>
      </c>
      <c r="C117" s="31" t="n">
        <v>2</v>
      </c>
      <c r="D117" s="46" t="n">
        <v>221.7320574162679</v>
      </c>
      <c r="E117" s="46" t="n">
        <v>572.4831829665072</v>
      </c>
      <c r="F117" s="31" t="inlineStr">
        <is>
          <t>train</t>
        </is>
      </c>
      <c r="G117" s="31" t="n">
        <v>418</v>
      </c>
      <c r="H117" s="31" t="inlineStr">
        <is>
          <t>COMPLETED PILOT</t>
        </is>
      </c>
      <c r="I117" s="31" t="n"/>
      <c r="J117" s="31" t="n"/>
      <c r="K117" s="31" t="n"/>
    </row>
    <row r="118" ht="24" customHeight="1">
      <c r="A118" s="31" t="inlineStr">
        <is>
          <t>P013</t>
        </is>
      </c>
      <c r="B118" s="31" t="inlineStr">
        <is>
          <t>SP</t>
        </is>
      </c>
      <c r="C118" s="31" t="n">
        <v>3</v>
      </c>
      <c r="D118" s="46" t="n">
        <v>228.9006928406467</v>
      </c>
      <c r="E118" s="46" t="n">
        <v>591.4280280831409</v>
      </c>
      <c r="F118" s="31" t="inlineStr">
        <is>
          <t>train</t>
        </is>
      </c>
      <c r="G118" s="31" t="n">
        <v>433</v>
      </c>
      <c r="H118" s="31" t="inlineStr">
        <is>
          <t>COMPLETED PILOT</t>
        </is>
      </c>
      <c r="I118" s="31" t="n"/>
      <c r="J118" s="31" t="n"/>
      <c r="K118" s="31" t="n"/>
    </row>
    <row r="119" ht="24" customHeight="1">
      <c r="A119" s="31" t="inlineStr">
        <is>
          <t>P013</t>
        </is>
      </c>
      <c r="B119" s="31" t="inlineStr">
        <is>
          <t>DTT</t>
        </is>
      </c>
      <c r="C119" s="31" t="n">
        <v>1</v>
      </c>
      <c r="D119" s="46" t="n">
        <v>207.9382716049383</v>
      </c>
      <c r="E119" s="46" t="n">
        <v>524.4769540246914</v>
      </c>
      <c r="F119" s="31" t="inlineStr">
        <is>
          <t>train</t>
        </is>
      </c>
      <c r="G119" s="31" t="n">
        <v>405</v>
      </c>
      <c r="H119" s="31" t="inlineStr">
        <is>
          <t>COMPLETED PILOT</t>
        </is>
      </c>
      <c r="I119" s="31" t="n"/>
      <c r="J119" s="31" t="n"/>
      <c r="K119" s="31" t="n"/>
    </row>
    <row r="120" ht="24" customHeight="1">
      <c r="A120" s="31" t="inlineStr">
        <is>
          <t>P013</t>
        </is>
      </c>
      <c r="B120" s="31" t="inlineStr">
        <is>
          <t>DTT</t>
        </is>
      </c>
      <c r="C120" s="31" t="n">
        <v>2</v>
      </c>
      <c r="D120" s="46" t="n">
        <v>192.2033492822966</v>
      </c>
      <c r="E120" s="46" t="n">
        <v>482.4248605502393</v>
      </c>
      <c r="F120" s="31" t="inlineStr">
        <is>
          <t>train</t>
        </is>
      </c>
      <c r="G120" s="31" t="n">
        <v>418</v>
      </c>
      <c r="H120" s="31" t="inlineStr">
        <is>
          <t>COMPLETED PILOT</t>
        </is>
      </c>
      <c r="I120" s="31" t="n"/>
      <c r="J120" s="31" t="n"/>
      <c r="K120" s="31" t="n"/>
    </row>
    <row r="121" ht="24" customHeight="1">
      <c r="A121" s="31" t="inlineStr">
        <is>
          <t>P013</t>
        </is>
      </c>
      <c r="B121" s="31" t="inlineStr">
        <is>
          <t>DTT</t>
        </is>
      </c>
      <c r="C121" s="31" t="n">
        <v>3</v>
      </c>
      <c r="D121" s="46" t="n">
        <v>201.891454965358</v>
      </c>
      <c r="E121" s="46" t="n">
        <v>507.4835124942263</v>
      </c>
      <c r="F121" s="31" t="inlineStr">
        <is>
          <t>train</t>
        </is>
      </c>
      <c r="G121" s="31" t="n">
        <v>433</v>
      </c>
      <c r="H121" s="31" t="inlineStr">
        <is>
          <t>COMPLETED PILOT</t>
        </is>
      </c>
      <c r="I121" s="31" t="n"/>
      <c r="J121" s="31" t="n"/>
      <c r="K121" s="31" t="n"/>
    </row>
    <row r="122" ht="24" customHeight="1">
      <c r="A122" s="31" t="inlineStr">
        <is>
          <t>P013</t>
        </is>
      </c>
      <c r="B122" s="31" t="inlineStr">
        <is>
          <t>TDR</t>
        </is>
      </c>
      <c r="C122" s="31" t="n">
        <v>1</v>
      </c>
      <c r="D122" s="46" t="n">
        <v>209.9753086419753</v>
      </c>
      <c r="E122" s="46" t="n">
        <v>531.7370421728396</v>
      </c>
      <c r="F122" s="31" t="inlineStr">
        <is>
          <t>train</t>
        </is>
      </c>
      <c r="G122" s="31" t="n">
        <v>405</v>
      </c>
      <c r="H122" s="31" t="inlineStr">
        <is>
          <t>COMPLETED PILOT</t>
        </is>
      </c>
      <c r="I122" s="31" t="n"/>
      <c r="J122" s="31" t="n"/>
      <c r="K122" s="31" t="n"/>
    </row>
    <row r="123" ht="24" customHeight="1">
      <c r="A123" s="31" t="inlineStr">
        <is>
          <t>P013</t>
        </is>
      </c>
      <c r="B123" s="31" t="inlineStr">
        <is>
          <t>TDR</t>
        </is>
      </c>
      <c r="C123" s="31" t="n">
        <v>2</v>
      </c>
      <c r="D123" s="46" t="n">
        <v>199.9736842105263</v>
      </c>
      <c r="E123" s="46" t="n">
        <v>504.07852</v>
      </c>
      <c r="F123" s="31" t="inlineStr">
        <is>
          <t>train</t>
        </is>
      </c>
      <c r="G123" s="31" t="n">
        <v>418</v>
      </c>
      <c r="H123" s="31" t="inlineStr">
        <is>
          <t>COMPLETED PILOT</t>
        </is>
      </c>
      <c r="I123" s="31" t="n"/>
      <c r="J123" s="31" t="n"/>
      <c r="K123" s="31" t="n"/>
    </row>
    <row r="124" ht="24" customHeight="1">
      <c r="A124" s="31" t="inlineStr">
        <is>
          <t>P013</t>
        </is>
      </c>
      <c r="B124" s="31" t="inlineStr">
        <is>
          <t>TDR</t>
        </is>
      </c>
      <c r="C124" s="31" t="n">
        <v>3</v>
      </c>
      <c r="D124" s="46" t="n">
        <v>206.2655889145497</v>
      </c>
      <c r="E124" s="46" t="n">
        <v>522.6246783371824</v>
      </c>
      <c r="F124" s="31" t="inlineStr">
        <is>
          <t>train</t>
        </is>
      </c>
      <c r="G124" s="31" t="n">
        <v>433</v>
      </c>
      <c r="H124" s="31" t="inlineStr">
        <is>
          <t>COMPLETED PILOT</t>
        </is>
      </c>
      <c r="I124" s="31" t="n"/>
      <c r="J124" s="31" t="n"/>
      <c r="K124" s="31" t="n"/>
    </row>
    <row r="125" ht="24" customHeight="1">
      <c r="A125" s="31" t="inlineStr">
        <is>
          <t>P014</t>
        </is>
      </c>
      <c r="B125" s="31" t="inlineStr">
        <is>
          <t>SP</t>
        </is>
      </c>
      <c r="C125" s="31" t="n">
        <v>1</v>
      </c>
      <c r="D125" s="46" t="n">
        <v>209.3234567901235</v>
      </c>
      <c r="E125" s="46" t="n">
        <v>535.5944443950617</v>
      </c>
      <c r="F125" s="31" t="inlineStr">
        <is>
          <t>train</t>
        </is>
      </c>
      <c r="G125" s="31" t="n">
        <v>405</v>
      </c>
      <c r="H125" s="31" t="inlineStr">
        <is>
          <t>COMPLETED PILOT</t>
        </is>
      </c>
      <c r="I125" s="31" t="n"/>
      <c r="J125" s="31" t="n"/>
      <c r="K125" s="31" t="n"/>
    </row>
    <row r="126" ht="24" customHeight="1">
      <c r="A126" s="31" t="inlineStr">
        <is>
          <t>P014</t>
        </is>
      </c>
      <c r="B126" s="31" t="inlineStr">
        <is>
          <t>SP</t>
        </is>
      </c>
      <c r="C126" s="31" t="n">
        <v>2</v>
      </c>
      <c r="D126" s="46" t="n">
        <v>194.7942583732057</v>
      </c>
      <c r="E126" s="46" t="n">
        <v>498.3614647607656</v>
      </c>
      <c r="F126" s="31" t="inlineStr">
        <is>
          <t>train</t>
        </is>
      </c>
      <c r="G126" s="31" t="n">
        <v>418</v>
      </c>
      <c r="H126" s="31" t="inlineStr">
        <is>
          <t>COMPLETED PILOT</t>
        </is>
      </c>
      <c r="I126" s="31" t="n"/>
      <c r="J126" s="31" t="n"/>
      <c r="K126" s="31" t="n"/>
    </row>
    <row r="127" ht="24" customHeight="1">
      <c r="A127" s="31" t="inlineStr">
        <is>
          <t>P014</t>
        </is>
      </c>
      <c r="B127" s="31" t="inlineStr">
        <is>
          <t>SP</t>
        </is>
      </c>
      <c r="C127" s="31" t="n">
        <v>3</v>
      </c>
      <c r="D127" s="46" t="n">
        <v>205.5819861431871</v>
      </c>
      <c r="E127" s="46" t="n">
        <v>527.3690256812934</v>
      </c>
      <c r="F127" s="31" t="inlineStr">
        <is>
          <t>train</t>
        </is>
      </c>
      <c r="G127" s="31" t="n">
        <v>433</v>
      </c>
      <c r="H127" s="31" t="inlineStr">
        <is>
          <t>COMPLETED PILOT</t>
        </is>
      </c>
      <c r="I127" s="31" t="n"/>
      <c r="J127" s="31" t="n"/>
      <c r="K127" s="31" t="n"/>
    </row>
    <row r="128" ht="24" customHeight="1">
      <c r="A128" s="31" t="inlineStr">
        <is>
          <t>P014</t>
        </is>
      </c>
      <c r="B128" s="31" t="inlineStr">
        <is>
          <t>DTT</t>
        </is>
      </c>
      <c r="C128" s="31" t="n">
        <v>1</v>
      </c>
      <c r="D128" s="46" t="n">
        <v>204.8345679012346</v>
      </c>
      <c r="E128" s="46" t="n">
        <v>516.6478524938271</v>
      </c>
      <c r="F128" s="31" t="inlineStr">
        <is>
          <t>train</t>
        </is>
      </c>
      <c r="G128" s="31" t="n">
        <v>405</v>
      </c>
      <c r="H128" s="31" t="inlineStr">
        <is>
          <t>COMPLETED PILOT</t>
        </is>
      </c>
      <c r="I128" s="31" t="n"/>
      <c r="J128" s="31" t="n"/>
      <c r="K128" s="31" t="n"/>
    </row>
    <row r="129" ht="24" customHeight="1">
      <c r="A129" s="31" t="inlineStr">
        <is>
          <t>P014</t>
        </is>
      </c>
      <c r="B129" s="31" t="inlineStr">
        <is>
          <t>DTT</t>
        </is>
      </c>
      <c r="C129" s="31" t="n">
        <v>2</v>
      </c>
      <c r="D129" s="46" t="n">
        <v>189.1602870813397</v>
      </c>
      <c r="E129" s="46" t="n">
        <v>475.4902657416268</v>
      </c>
      <c r="F129" s="31" t="inlineStr">
        <is>
          <t>train</t>
        </is>
      </c>
      <c r="G129" s="31" t="n">
        <v>418</v>
      </c>
      <c r="H129" s="31" t="inlineStr">
        <is>
          <t>COMPLETED PILOT</t>
        </is>
      </c>
      <c r="I129" s="31" t="n"/>
      <c r="J129" s="31" t="n"/>
      <c r="K129" s="31" t="n"/>
    </row>
    <row r="130" ht="24" customHeight="1">
      <c r="A130" s="31" t="inlineStr">
        <is>
          <t>P014</t>
        </is>
      </c>
      <c r="B130" s="31" t="inlineStr">
        <is>
          <t>DTT</t>
        </is>
      </c>
      <c r="C130" s="31" t="n">
        <v>3</v>
      </c>
      <c r="D130" s="46" t="n">
        <v>199.8129330254042</v>
      </c>
      <c r="E130" s="46" t="n">
        <v>503.8564923325635</v>
      </c>
      <c r="F130" s="31" t="inlineStr">
        <is>
          <t>train</t>
        </is>
      </c>
      <c r="G130" s="31" t="n">
        <v>433</v>
      </c>
      <c r="H130" s="31" t="inlineStr">
        <is>
          <t>COMPLETED PILOT</t>
        </is>
      </c>
      <c r="I130" s="31" t="n"/>
      <c r="J130" s="31" t="n"/>
      <c r="K130" s="31" t="n"/>
    </row>
    <row r="131" ht="24" customHeight="1">
      <c r="A131" s="31" t="inlineStr">
        <is>
          <t>P014</t>
        </is>
      </c>
      <c r="B131" s="31" t="inlineStr">
        <is>
          <t>TDR</t>
        </is>
      </c>
      <c r="C131" s="31" t="n">
        <v>1</v>
      </c>
      <c r="D131" s="46" t="n">
        <v>206.9555555555555</v>
      </c>
      <c r="E131" s="46" t="n">
        <v>526.6004952098765</v>
      </c>
      <c r="F131" s="31" t="inlineStr">
        <is>
          <t>train</t>
        </is>
      </c>
      <c r="G131" s="31" t="n">
        <v>405</v>
      </c>
      <c r="H131" s="31" t="inlineStr">
        <is>
          <t>COMPLETED PILOT</t>
        </is>
      </c>
      <c r="I131" s="31" t="n"/>
      <c r="J131" s="31" t="n"/>
      <c r="K131" s="31" t="n"/>
    </row>
    <row r="132" ht="24" customHeight="1">
      <c r="A132" s="31" t="inlineStr">
        <is>
          <t>P014</t>
        </is>
      </c>
      <c r="B132" s="31" t="inlineStr">
        <is>
          <t>TDR</t>
        </is>
      </c>
      <c r="C132" s="31" t="n">
        <v>2</v>
      </c>
      <c r="D132" s="46" t="n">
        <v>192.5334928229665</v>
      </c>
      <c r="E132" s="46" t="n">
        <v>488.8903455980861</v>
      </c>
      <c r="F132" s="31" t="inlineStr">
        <is>
          <t>train</t>
        </is>
      </c>
      <c r="G132" s="31" t="n">
        <v>418</v>
      </c>
      <c r="H132" s="31" t="inlineStr">
        <is>
          <t>COMPLETED PILOT</t>
        </is>
      </c>
      <c r="I132" s="31" t="n"/>
      <c r="J132" s="31" t="n"/>
      <c r="K132" s="31" t="n"/>
    </row>
    <row r="133" ht="24" customHeight="1">
      <c r="A133" s="31" t="inlineStr">
        <is>
          <t>P014</t>
        </is>
      </c>
      <c r="B133" s="31" t="inlineStr">
        <is>
          <t>TDR</t>
        </is>
      </c>
      <c r="C133" s="31" t="n">
        <v>3</v>
      </c>
      <c r="D133" s="46" t="n">
        <v>204.0369515011547</v>
      </c>
      <c r="E133" s="46" t="n">
        <v>521.6431798383372</v>
      </c>
      <c r="F133" s="31" t="inlineStr">
        <is>
          <t>train</t>
        </is>
      </c>
      <c r="G133" s="31" t="n">
        <v>433</v>
      </c>
      <c r="H133" s="31" t="inlineStr">
        <is>
          <t>COMPLETED PILOT</t>
        </is>
      </c>
      <c r="I133" s="31" t="n"/>
      <c r="J133" s="31" t="n"/>
      <c r="K133" s="31" t="n"/>
    </row>
    <row r="134" ht="24" customHeight="1">
      <c r="A134" s="31" t="inlineStr">
        <is>
          <t>P015</t>
        </is>
      </c>
      <c r="B134" s="31" t="inlineStr">
        <is>
          <t>SP</t>
        </is>
      </c>
      <c r="C134" s="31" t="n">
        <v>1</v>
      </c>
      <c r="D134" s="46" t="n">
        <v>208.3086419753086</v>
      </c>
      <c r="E134" s="46" t="n">
        <v>534.6911221481481</v>
      </c>
      <c r="F134" s="31" t="inlineStr">
        <is>
          <t>train</t>
        </is>
      </c>
      <c r="G134" s="31" t="n">
        <v>405</v>
      </c>
      <c r="H134" s="31" t="inlineStr">
        <is>
          <t>COMPLETED PILOT</t>
        </is>
      </c>
      <c r="I134" s="31" t="n"/>
      <c r="J134" s="31" t="n"/>
      <c r="K134" s="31" t="n"/>
    </row>
    <row r="135" ht="24" customHeight="1">
      <c r="A135" s="31" t="inlineStr">
        <is>
          <t>P015</t>
        </is>
      </c>
      <c r="B135" s="31" t="inlineStr">
        <is>
          <t>SP</t>
        </is>
      </c>
      <c r="C135" s="31" t="n">
        <v>2</v>
      </c>
      <c r="D135" s="46" t="n">
        <v>193.8540669856459</v>
      </c>
      <c r="E135" s="46" t="n">
        <v>497.6472888038277</v>
      </c>
      <c r="F135" s="31" t="inlineStr">
        <is>
          <t>train</t>
        </is>
      </c>
      <c r="G135" s="31" t="n">
        <v>418</v>
      </c>
      <c r="H135" s="31" t="inlineStr">
        <is>
          <t>COMPLETED PILOT</t>
        </is>
      </c>
      <c r="I135" s="31" t="n"/>
      <c r="J135" s="31" t="n"/>
      <c r="K135" s="31" t="n"/>
    </row>
    <row r="136" ht="24" customHeight="1">
      <c r="A136" s="31" t="inlineStr">
        <is>
          <t>P015</t>
        </is>
      </c>
      <c r="B136" s="31" t="inlineStr">
        <is>
          <t>SP</t>
        </is>
      </c>
      <c r="C136" s="31" t="n">
        <v>3</v>
      </c>
      <c r="D136" s="46" t="n">
        <v>204.0300230946882</v>
      </c>
      <c r="E136" s="46" t="n">
        <v>524.9865882678984</v>
      </c>
      <c r="F136" s="31" t="inlineStr">
        <is>
          <t>train</t>
        </is>
      </c>
      <c r="G136" s="31" t="n">
        <v>433</v>
      </c>
      <c r="H136" s="31" t="inlineStr">
        <is>
          <t>COMPLETED PILOT</t>
        </is>
      </c>
      <c r="I136" s="31" t="n"/>
      <c r="J136" s="31" t="n"/>
      <c r="K136" s="31" t="n"/>
    </row>
    <row r="137" ht="24" customHeight="1">
      <c r="A137" s="31" t="inlineStr">
        <is>
          <t>P015</t>
        </is>
      </c>
      <c r="B137" s="31" t="inlineStr">
        <is>
          <t>DTT</t>
        </is>
      </c>
      <c r="C137" s="31" t="n">
        <v>1</v>
      </c>
      <c r="D137" s="46" t="n">
        <v>204.0987654320988</v>
      </c>
      <c r="E137" s="46" t="n">
        <v>515.320396345679</v>
      </c>
      <c r="F137" s="31" t="inlineStr">
        <is>
          <t>train</t>
        </is>
      </c>
      <c r="G137" s="31" t="n">
        <v>405</v>
      </c>
      <c r="H137" s="31" t="inlineStr">
        <is>
          <t>COMPLETED PILOT</t>
        </is>
      </c>
      <c r="I137" s="31" t="n"/>
      <c r="J137" s="31" t="n"/>
      <c r="K137" s="31" t="n"/>
    </row>
    <row r="138" ht="24" customHeight="1">
      <c r="A138" s="31" t="inlineStr">
        <is>
          <t>P015</t>
        </is>
      </c>
      <c r="B138" s="31" t="inlineStr">
        <is>
          <t>DTT</t>
        </is>
      </c>
      <c r="C138" s="31" t="n">
        <v>2</v>
      </c>
      <c r="D138" s="46" t="n">
        <v>189.1602870813397</v>
      </c>
      <c r="E138" s="46" t="n">
        <v>475.7033883014354</v>
      </c>
      <c r="F138" s="31" t="inlineStr">
        <is>
          <t>train</t>
        </is>
      </c>
      <c r="G138" s="31" t="n">
        <v>418</v>
      </c>
      <c r="H138" s="31" t="inlineStr">
        <is>
          <t>COMPLETED PILOT</t>
        </is>
      </c>
      <c r="I138" s="31" t="n"/>
      <c r="J138" s="31" t="n"/>
      <c r="K138" s="31" t="n"/>
    </row>
    <row r="139" ht="24" customHeight="1">
      <c r="A139" s="31" t="inlineStr">
        <is>
          <t>P015</t>
        </is>
      </c>
      <c r="B139" s="31" t="inlineStr">
        <is>
          <t>DTT</t>
        </is>
      </c>
      <c r="C139" s="31" t="n">
        <v>3</v>
      </c>
      <c r="D139" s="46" t="n">
        <v>199.8152424942263</v>
      </c>
      <c r="E139" s="46" t="n">
        <v>504.6688242725173</v>
      </c>
      <c r="F139" s="31" t="inlineStr">
        <is>
          <t>train</t>
        </is>
      </c>
      <c r="G139" s="31" t="n">
        <v>433</v>
      </c>
      <c r="H139" s="31" t="inlineStr">
        <is>
          <t>COMPLETED PILOT</t>
        </is>
      </c>
      <c r="I139" s="31" t="n"/>
      <c r="J139" s="31" t="n"/>
      <c r="K139" s="31" t="n"/>
    </row>
    <row r="140" ht="24" customHeight="1">
      <c r="A140" s="31" t="inlineStr">
        <is>
          <t>P015</t>
        </is>
      </c>
      <c r="B140" s="31" t="inlineStr">
        <is>
          <t>TDR</t>
        </is>
      </c>
      <c r="C140" s="31" t="n">
        <v>1</v>
      </c>
      <c r="D140" s="46" t="n">
        <v>207.8740740740741</v>
      </c>
      <c r="E140" s="46" t="n">
        <v>532.865123728395</v>
      </c>
      <c r="F140" s="31" t="inlineStr">
        <is>
          <t>train</t>
        </is>
      </c>
      <c r="G140" s="31" t="n">
        <v>405</v>
      </c>
      <c r="H140" s="31" t="inlineStr">
        <is>
          <t>COMPLETED PILOT</t>
        </is>
      </c>
      <c r="I140" s="31" t="n"/>
      <c r="J140" s="31" t="n"/>
      <c r="K140" s="31" t="n"/>
    </row>
    <row r="141" ht="24" customHeight="1">
      <c r="A141" s="31" t="inlineStr">
        <is>
          <t>P015</t>
        </is>
      </c>
      <c r="B141" s="31" t="inlineStr">
        <is>
          <t>TDR</t>
        </is>
      </c>
      <c r="C141" s="31" t="n">
        <v>2</v>
      </c>
      <c r="D141" s="46" t="n">
        <v>193.3181818181818</v>
      </c>
      <c r="E141" s="46" t="n">
        <v>495.398134784689</v>
      </c>
      <c r="F141" s="31" t="inlineStr">
        <is>
          <t>train</t>
        </is>
      </c>
      <c r="G141" s="31" t="n">
        <v>418</v>
      </c>
      <c r="H141" s="31" t="inlineStr">
        <is>
          <t>COMPLETED PILOT</t>
        </is>
      </c>
      <c r="I141" s="31" t="n"/>
      <c r="J141" s="31" t="n"/>
      <c r="K141" s="31" t="n"/>
    </row>
    <row r="142" ht="24" customHeight="1">
      <c r="A142" s="31" t="inlineStr">
        <is>
          <t>P015</t>
        </is>
      </c>
      <c r="B142" s="31" t="inlineStr">
        <is>
          <t>TDR</t>
        </is>
      </c>
      <c r="C142" s="31" t="n">
        <v>3</v>
      </c>
      <c r="D142" s="46" t="n">
        <v>204.0300230946882</v>
      </c>
      <c r="E142" s="46" t="n">
        <v>524.9865882678984</v>
      </c>
      <c r="F142" s="31" t="inlineStr">
        <is>
          <t>train</t>
        </is>
      </c>
      <c r="G142" s="31" t="n">
        <v>433</v>
      </c>
      <c r="H142" s="31" t="inlineStr">
        <is>
          <t>COMPLETED PILOT</t>
        </is>
      </c>
      <c r="I142" s="31" t="n"/>
      <c r="J142" s="31" t="n"/>
      <c r="K142" s="31" t="n"/>
    </row>
    <row r="143" ht="24" customHeight="1">
      <c r="A143" s="31" t="inlineStr">
        <is>
          <t>P016</t>
        </is>
      </c>
      <c r="B143" s="31" t="inlineStr">
        <is>
          <t>SP</t>
        </is>
      </c>
      <c r="C143" s="31" t="n">
        <v>1001</v>
      </c>
      <c r="D143" s="46" t="n">
        <v>231.4431279620853</v>
      </c>
      <c r="E143" s="46" t="n">
        <v>594.9200469194312</v>
      </c>
      <c r="F143" s="31" t="inlineStr">
        <is>
          <t>test</t>
        </is>
      </c>
      <c r="G143" s="31" t="n">
        <v>422</v>
      </c>
      <c r="H143" s="31" t="inlineStr">
        <is>
          <t>COMPLETED PILOT</t>
        </is>
      </c>
      <c r="I143" s="31" t="n"/>
      <c r="J143" s="31" t="n"/>
      <c r="K143" s="31" t="n"/>
    </row>
    <row r="144" ht="24" customHeight="1">
      <c r="A144" s="31" t="inlineStr">
        <is>
          <t>P016</t>
        </is>
      </c>
      <c r="B144" s="31" t="inlineStr">
        <is>
          <t>SP</t>
        </is>
      </c>
      <c r="C144" s="31" t="n">
        <v>1002</v>
      </c>
      <c r="D144" s="46" t="n">
        <v>211.3259259259259</v>
      </c>
      <c r="E144" s="46" t="n">
        <v>538.9064811358024</v>
      </c>
      <c r="F144" s="31" t="inlineStr">
        <is>
          <t>test</t>
        </is>
      </c>
      <c r="G144" s="31" t="n">
        <v>405</v>
      </c>
      <c r="H144" s="31" t="inlineStr">
        <is>
          <t>COMPLETED PILOT</t>
        </is>
      </c>
      <c r="I144" s="31" t="n"/>
      <c r="J144" s="31" t="n"/>
      <c r="K144" s="31" t="n"/>
    </row>
    <row r="145" ht="24" customHeight="1">
      <c r="A145" s="31" t="inlineStr">
        <is>
          <t>P016</t>
        </is>
      </c>
      <c r="B145" s="31" t="inlineStr">
        <is>
          <t>SP</t>
        </is>
      </c>
      <c r="C145" s="31" t="n">
        <v>1003</v>
      </c>
      <c r="D145" s="46" t="n">
        <v>247.8431818181818</v>
      </c>
      <c r="E145" s="46" t="n">
        <v>650.2618051818182</v>
      </c>
      <c r="F145" s="31" t="inlineStr">
        <is>
          <t>test</t>
        </is>
      </c>
      <c r="G145" s="31" t="n">
        <v>440</v>
      </c>
      <c r="H145" s="31" t="inlineStr">
        <is>
          <t>COMPLETED PILOT</t>
        </is>
      </c>
      <c r="I145" s="31" t="n"/>
      <c r="J145" s="31" t="n"/>
      <c r="K145" s="31" t="n"/>
    </row>
    <row r="146" ht="24" customHeight="1">
      <c r="A146" s="31" t="inlineStr">
        <is>
          <t>P016</t>
        </is>
      </c>
      <c r="B146" s="31" t="inlineStr">
        <is>
          <t>DTT</t>
        </is>
      </c>
      <c r="C146" s="31" t="n">
        <v>1001</v>
      </c>
      <c r="D146" s="46" t="n">
        <v>200.7109004739337</v>
      </c>
      <c r="E146" s="46" t="n">
        <v>503.4700511611375</v>
      </c>
      <c r="F146" s="31" t="inlineStr">
        <is>
          <t>test</t>
        </is>
      </c>
      <c r="G146" s="31" t="n">
        <v>422</v>
      </c>
      <c r="H146" s="31" t="inlineStr">
        <is>
          <t>COMPLETED PILOT</t>
        </is>
      </c>
      <c r="I146" s="31" t="n"/>
      <c r="J146" s="31" t="n"/>
      <c r="K146" s="31" t="n"/>
    </row>
    <row r="147" ht="24" customHeight="1">
      <c r="A147" s="31" t="inlineStr">
        <is>
          <t>P016</t>
        </is>
      </c>
      <c r="B147" s="31" t="inlineStr">
        <is>
          <t>DTT</t>
        </is>
      </c>
      <c r="C147" s="31" t="n">
        <v>1002</v>
      </c>
      <c r="D147" s="46" t="n">
        <v>192.0814814814815</v>
      </c>
      <c r="E147" s="46" t="n">
        <v>484.8994970123456</v>
      </c>
      <c r="F147" s="31" t="inlineStr">
        <is>
          <t>test</t>
        </is>
      </c>
      <c r="G147" s="31" t="n">
        <v>405</v>
      </c>
      <c r="H147" s="31" t="inlineStr">
        <is>
          <t>COMPLETED PILOT</t>
        </is>
      </c>
      <c r="I147" s="31" t="n"/>
      <c r="J147" s="31" t="n"/>
      <c r="K147" s="31" t="n"/>
    </row>
    <row r="148" ht="24" customHeight="1">
      <c r="A148" s="31" t="inlineStr">
        <is>
          <t>P016</t>
        </is>
      </c>
      <c r="B148" s="31" t="inlineStr">
        <is>
          <t>DTT</t>
        </is>
      </c>
      <c r="C148" s="31" t="n">
        <v>1003</v>
      </c>
      <c r="D148" s="46" t="n">
        <v>203.8431818181818</v>
      </c>
      <c r="E148" s="46" t="n">
        <v>513.2278941818182</v>
      </c>
      <c r="F148" s="31" t="inlineStr">
        <is>
          <t>test</t>
        </is>
      </c>
      <c r="G148" s="31" t="n">
        <v>440</v>
      </c>
      <c r="H148" s="31" t="inlineStr">
        <is>
          <t>COMPLETED PILOT</t>
        </is>
      </c>
      <c r="I148" s="31" t="n"/>
      <c r="J148" s="31" t="n"/>
      <c r="K148" s="31" t="n"/>
    </row>
    <row r="149" ht="24" customHeight="1">
      <c r="A149" s="31" t="inlineStr">
        <is>
          <t>P016</t>
        </is>
      </c>
      <c r="B149" s="31" t="inlineStr">
        <is>
          <t>TDR</t>
        </is>
      </c>
      <c r="C149" s="31" t="n">
        <v>1001</v>
      </c>
      <c r="D149" s="46" t="n">
        <v>213.2322274881517</v>
      </c>
      <c r="E149" s="46" t="n">
        <v>538.1549483412322</v>
      </c>
      <c r="F149" s="31" t="inlineStr">
        <is>
          <t>test</t>
        </is>
      </c>
      <c r="G149" s="31" t="n">
        <v>422</v>
      </c>
      <c r="H149" s="31" t="inlineStr">
        <is>
          <t>COMPLETED PILOT</t>
        </is>
      </c>
      <c r="I149" s="31" t="n"/>
      <c r="J149" s="31" t="n"/>
      <c r="K149" s="31" t="n"/>
    </row>
    <row r="150" ht="24" customHeight="1">
      <c r="A150" s="31" t="inlineStr">
        <is>
          <t>P016</t>
        </is>
      </c>
      <c r="B150" s="31" t="inlineStr">
        <is>
          <t>TDR</t>
        </is>
      </c>
      <c r="C150" s="31" t="n">
        <v>1002</v>
      </c>
      <c r="D150" s="46" t="n">
        <v>200.3358024691358</v>
      </c>
      <c r="E150" s="46" t="n">
        <v>506.4155530370371</v>
      </c>
      <c r="F150" s="31" t="inlineStr">
        <is>
          <t>test</t>
        </is>
      </c>
      <c r="G150" s="31" t="n">
        <v>405</v>
      </c>
      <c r="H150" s="31" t="inlineStr">
        <is>
          <t>COMPLETED PILOT</t>
        </is>
      </c>
      <c r="I150" s="31" t="n"/>
      <c r="J150" s="31" t="n"/>
      <c r="K150" s="31" t="n"/>
    </row>
    <row r="151" ht="24" customHeight="1">
      <c r="A151" s="31" t="inlineStr">
        <is>
          <t>P016</t>
        </is>
      </c>
      <c r="B151" s="31" t="inlineStr">
        <is>
          <t>TDR</t>
        </is>
      </c>
      <c r="C151" s="31" t="n">
        <v>1003</v>
      </c>
      <c r="D151" s="46" t="n">
        <v>207.2522727272727</v>
      </c>
      <c r="E151" s="46" t="n">
        <v>522.4239391136364</v>
      </c>
      <c r="F151" s="31" t="inlineStr">
        <is>
          <t>test</t>
        </is>
      </c>
      <c r="G151" s="31" t="n">
        <v>440</v>
      </c>
      <c r="H151" s="31" t="inlineStr">
        <is>
          <t>COMPLETED PILOT</t>
        </is>
      </c>
      <c r="I151" s="31" t="n"/>
      <c r="J151" s="31" t="n"/>
      <c r="K151" s="31" t="n"/>
    </row>
    <row r="152" ht="24" customHeight="1">
      <c r="A152" s="31" t="inlineStr">
        <is>
          <t>P017</t>
        </is>
      </c>
      <c r="B152" s="31" t="inlineStr">
        <is>
          <t>SP</t>
        </is>
      </c>
      <c r="C152" s="31" t="n">
        <v>1001</v>
      </c>
      <c r="D152" s="46" t="n">
        <v>208.0473933649289</v>
      </c>
      <c r="E152" s="46" t="n">
        <v>531.4260106872038</v>
      </c>
      <c r="F152" s="31" t="inlineStr">
        <is>
          <t>test</t>
        </is>
      </c>
      <c r="G152" s="31" t="n">
        <v>422</v>
      </c>
      <c r="H152" s="31" t="inlineStr">
        <is>
          <t>COMPLETED PILOT</t>
        </is>
      </c>
      <c r="I152" s="31" t="n"/>
      <c r="J152" s="31" t="n"/>
      <c r="K152" s="31" t="n"/>
    </row>
    <row r="153" ht="24" customHeight="1">
      <c r="A153" s="31" t="inlineStr">
        <is>
          <t>P017</t>
        </is>
      </c>
      <c r="B153" s="31" t="inlineStr">
        <is>
          <t>SP</t>
        </is>
      </c>
      <c r="C153" s="31" t="n">
        <v>1002</v>
      </c>
      <c r="D153" s="46" t="n">
        <v>196.8320987654321</v>
      </c>
      <c r="E153" s="46" t="n">
        <v>503.96967</v>
      </c>
      <c r="F153" s="31" t="inlineStr">
        <is>
          <t>test</t>
        </is>
      </c>
      <c r="G153" s="31" t="n">
        <v>405</v>
      </c>
      <c r="H153" s="31" t="inlineStr">
        <is>
          <t>COMPLETED PILOT</t>
        </is>
      </c>
      <c r="I153" s="31" t="n"/>
      <c r="J153" s="31" t="n"/>
      <c r="K153" s="31" t="n"/>
    </row>
    <row r="154" ht="24" customHeight="1">
      <c r="A154" s="31" t="inlineStr">
        <is>
          <t>P017</t>
        </is>
      </c>
      <c r="B154" s="31" t="inlineStr">
        <is>
          <t>SP</t>
        </is>
      </c>
      <c r="C154" s="31" t="n">
        <v>1003</v>
      </c>
      <c r="D154" s="46" t="n">
        <v>205.1340909090909</v>
      </c>
      <c r="E154" s="46" t="n">
        <v>524.9977783181819</v>
      </c>
      <c r="F154" s="31" t="inlineStr">
        <is>
          <t>test</t>
        </is>
      </c>
      <c r="G154" s="31" t="n">
        <v>440</v>
      </c>
      <c r="H154" s="31" t="inlineStr">
        <is>
          <t>COMPLETED PILOT</t>
        </is>
      </c>
      <c r="I154" s="31" t="n"/>
      <c r="J154" s="31" t="n"/>
      <c r="K154" s="31" t="n"/>
    </row>
    <row r="155" ht="24" customHeight="1">
      <c r="A155" s="31" t="inlineStr">
        <is>
          <t>P017</t>
        </is>
      </c>
      <c r="B155" s="31" t="inlineStr">
        <is>
          <t>DTT</t>
        </is>
      </c>
      <c r="C155" s="31" t="n">
        <v>1001</v>
      </c>
      <c r="D155" s="46" t="n">
        <v>201.5118483412322</v>
      </c>
      <c r="E155" s="46" t="n">
        <v>507.27994507109</v>
      </c>
      <c r="F155" s="31" t="inlineStr">
        <is>
          <t>test</t>
        </is>
      </c>
      <c r="G155" s="31" t="n">
        <v>422</v>
      </c>
      <c r="H155" s="31" t="inlineStr">
        <is>
          <t>COMPLETED PILOT</t>
        </is>
      </c>
      <c r="I155" s="31" t="n"/>
      <c r="J155" s="31" t="n"/>
      <c r="K155" s="31" t="n"/>
    </row>
    <row r="156" ht="24" customHeight="1">
      <c r="A156" s="31" t="inlineStr">
        <is>
          <t>P017</t>
        </is>
      </c>
      <c r="B156" s="31" t="inlineStr">
        <is>
          <t>DTT</t>
        </is>
      </c>
      <c r="C156" s="31" t="n">
        <v>1002</v>
      </c>
      <c r="D156" s="46" t="n">
        <v>189.5703703703704</v>
      </c>
      <c r="E156" s="46" t="n">
        <v>476.4771957530864</v>
      </c>
      <c r="F156" s="31" t="inlineStr">
        <is>
          <t>test</t>
        </is>
      </c>
      <c r="G156" s="31" t="n">
        <v>405</v>
      </c>
      <c r="H156" s="31" t="inlineStr">
        <is>
          <t>COMPLETED PILOT</t>
        </is>
      </c>
      <c r="I156" s="31" t="n"/>
      <c r="J156" s="31" t="n"/>
      <c r="K156" s="31" t="n"/>
    </row>
    <row r="157" ht="24" customHeight="1">
      <c r="A157" s="31" t="inlineStr">
        <is>
          <t>P017</t>
        </is>
      </c>
      <c r="B157" s="31" t="inlineStr">
        <is>
          <t>DTT</t>
        </is>
      </c>
      <c r="C157" s="31" t="n">
        <v>1003</v>
      </c>
      <c r="D157" s="46" t="n">
        <v>200.9159090909091</v>
      </c>
      <c r="E157" s="46" t="n">
        <v>505.7353831136364</v>
      </c>
      <c r="F157" s="31" t="inlineStr">
        <is>
          <t>test</t>
        </is>
      </c>
      <c r="G157" s="31" t="n">
        <v>440</v>
      </c>
      <c r="H157" s="31" t="inlineStr">
        <is>
          <t>COMPLETED PILOT</t>
        </is>
      </c>
      <c r="I157" s="31" t="n"/>
      <c r="J157" s="31" t="n"/>
      <c r="K157" s="31" t="n"/>
    </row>
    <row r="158" ht="24" customHeight="1">
      <c r="A158" s="31" t="inlineStr">
        <is>
          <t>P017</t>
        </is>
      </c>
      <c r="B158" s="31" t="inlineStr">
        <is>
          <t>TDR</t>
        </is>
      </c>
      <c r="C158" s="31" t="n">
        <v>1001</v>
      </c>
      <c r="D158" s="46" t="n">
        <v>206.0165876777251</v>
      </c>
      <c r="E158" s="46" t="n">
        <v>524.3479983412323</v>
      </c>
      <c r="F158" s="31" t="inlineStr">
        <is>
          <t>test</t>
        </is>
      </c>
      <c r="G158" s="31" t="n">
        <v>422</v>
      </c>
      <c r="H158" s="31" t="inlineStr">
        <is>
          <t>COMPLETED PILOT</t>
        </is>
      </c>
      <c r="I158" s="31" t="n"/>
      <c r="J158" s="31" t="n"/>
      <c r="K158" s="31" t="n"/>
    </row>
    <row r="159" ht="24" customHeight="1">
      <c r="A159" s="31" t="inlineStr">
        <is>
          <t>P017</t>
        </is>
      </c>
      <c r="B159" s="31" t="inlineStr">
        <is>
          <t>TDR</t>
        </is>
      </c>
      <c r="C159" s="31" t="n">
        <v>1002</v>
      </c>
      <c r="D159" s="46" t="n">
        <v>194.8913580246914</v>
      </c>
      <c r="E159" s="46" t="n">
        <v>495.7391991851852</v>
      </c>
      <c r="F159" s="31" t="inlineStr">
        <is>
          <t>test</t>
        </is>
      </c>
      <c r="G159" s="31" t="n">
        <v>405</v>
      </c>
      <c r="H159" s="31" t="inlineStr">
        <is>
          <t>COMPLETED PILOT</t>
        </is>
      </c>
      <c r="I159" s="31" t="n"/>
      <c r="J159" s="31" t="n"/>
      <c r="K159" s="31" t="n"/>
    </row>
    <row r="160" ht="24" customHeight="1">
      <c r="A160" s="31" t="inlineStr">
        <is>
          <t>P017</t>
        </is>
      </c>
      <c r="B160" s="31" t="inlineStr">
        <is>
          <t>TDR</t>
        </is>
      </c>
      <c r="C160" s="31" t="n">
        <v>1003</v>
      </c>
      <c r="D160" s="46" t="n">
        <v>202.9454545454545</v>
      </c>
      <c r="E160" s="46" t="n">
        <v>516.3984702954546</v>
      </c>
      <c r="F160" s="31" t="inlineStr">
        <is>
          <t>test</t>
        </is>
      </c>
      <c r="G160" s="31" t="n">
        <v>440</v>
      </c>
      <c r="H160" s="31" t="inlineStr">
        <is>
          <t>COMPLETED PILOT</t>
        </is>
      </c>
      <c r="I160" s="31" t="n"/>
      <c r="J160" s="31" t="n"/>
      <c r="K160" s="31" t="n"/>
    </row>
    <row r="161" ht="24" customHeight="1">
      <c r="A161" s="31" t="inlineStr">
        <is>
          <t>P018</t>
        </is>
      </c>
      <c r="B161" s="31" t="inlineStr">
        <is>
          <t>SP</t>
        </is>
      </c>
      <c r="C161" s="31" t="n">
        <v>1001</v>
      </c>
      <c r="D161" s="46" t="n">
        <v>205.5971563981043</v>
      </c>
      <c r="E161" s="46" t="n">
        <v>526.9985979620853</v>
      </c>
      <c r="F161" s="31" t="inlineStr">
        <is>
          <t>test</t>
        </is>
      </c>
      <c r="G161" s="31" t="n">
        <v>422</v>
      </c>
      <c r="H161" s="31" t="inlineStr">
        <is>
          <t>COMPLETED PILOT</t>
        </is>
      </c>
      <c r="I161" s="31" t="n"/>
      <c r="J161" s="31" t="n"/>
      <c r="K161" s="31" t="n"/>
    </row>
    <row r="162" ht="24" customHeight="1">
      <c r="A162" s="31" t="inlineStr">
        <is>
          <t>P018</t>
        </is>
      </c>
      <c r="B162" s="31" t="inlineStr">
        <is>
          <t>SP</t>
        </is>
      </c>
      <c r="C162" s="31" t="n">
        <v>1002</v>
      </c>
      <c r="D162" s="46" t="n">
        <v>195.5604938271605</v>
      </c>
      <c r="E162" s="46" t="n">
        <v>502.1390164938272</v>
      </c>
      <c r="F162" s="31" t="inlineStr">
        <is>
          <t>test</t>
        </is>
      </c>
      <c r="G162" s="31" t="n">
        <v>405</v>
      </c>
      <c r="H162" s="31" t="inlineStr">
        <is>
          <t>COMPLETED PILOT</t>
        </is>
      </c>
      <c r="I162" s="31" t="n"/>
      <c r="J162" s="31" t="n"/>
      <c r="K162" s="31" t="n"/>
    </row>
    <row r="163" ht="24" customHeight="1">
      <c r="A163" s="31" t="inlineStr">
        <is>
          <t>P018</t>
        </is>
      </c>
      <c r="B163" s="31" t="inlineStr">
        <is>
          <t>SP</t>
        </is>
      </c>
      <c r="C163" s="31" t="n">
        <v>1003</v>
      </c>
      <c r="D163" s="46" t="n">
        <v>204.1113636363636</v>
      </c>
      <c r="E163" s="46" t="n">
        <v>523.8384063181818</v>
      </c>
      <c r="F163" s="31" t="inlineStr">
        <is>
          <t>test</t>
        </is>
      </c>
      <c r="G163" s="31" t="n">
        <v>440</v>
      </c>
      <c r="H163" s="31" t="inlineStr">
        <is>
          <t>COMPLETED PILOT</t>
        </is>
      </c>
      <c r="I163" s="31" t="n"/>
      <c r="J163" s="31" t="n"/>
      <c r="K163" s="31" t="n"/>
    </row>
    <row r="164" ht="24" customHeight="1">
      <c r="A164" s="31" t="inlineStr">
        <is>
          <t>P018</t>
        </is>
      </c>
      <c r="B164" s="31" t="inlineStr">
        <is>
          <t>DTT</t>
        </is>
      </c>
      <c r="C164" s="31" t="n">
        <v>1001</v>
      </c>
      <c r="D164" s="46" t="n">
        <v>201.9478672985782</v>
      </c>
      <c r="E164" s="46" t="n">
        <v>509.8311395023697</v>
      </c>
      <c r="F164" s="31" t="inlineStr">
        <is>
          <t>test</t>
        </is>
      </c>
      <c r="G164" s="31" t="n">
        <v>422</v>
      </c>
      <c r="H164" s="31" t="inlineStr">
        <is>
          <t>COMPLETED PILOT</t>
        </is>
      </c>
      <c r="I164" s="31" t="n"/>
      <c r="J164" s="31" t="n"/>
      <c r="K164" s="31" t="n"/>
    </row>
    <row r="165" ht="24" customHeight="1">
      <c r="A165" s="31" t="inlineStr">
        <is>
          <t>P018</t>
        </is>
      </c>
      <c r="B165" s="31" t="inlineStr">
        <is>
          <t>DTT</t>
        </is>
      </c>
      <c r="C165" s="31" t="n">
        <v>1002</v>
      </c>
      <c r="D165" s="46" t="n">
        <v>189.5703703703704</v>
      </c>
      <c r="E165" s="46" t="n">
        <v>476.7003875802469</v>
      </c>
      <c r="F165" s="31" t="inlineStr">
        <is>
          <t>test</t>
        </is>
      </c>
      <c r="G165" s="31" t="n">
        <v>405</v>
      </c>
      <c r="H165" s="31" t="inlineStr">
        <is>
          <t>COMPLETED PILOT</t>
        </is>
      </c>
      <c r="I165" s="31" t="n"/>
      <c r="J165" s="31" t="n"/>
      <c r="K165" s="31" t="n"/>
    </row>
    <row r="166" ht="24" customHeight="1">
      <c r="A166" s="31" t="inlineStr">
        <is>
          <t>P018</t>
        </is>
      </c>
      <c r="B166" s="31" t="inlineStr">
        <is>
          <t>DTT</t>
        </is>
      </c>
      <c r="C166" s="31" t="n">
        <v>1003</v>
      </c>
      <c r="D166" s="46" t="n">
        <v>200.6522727272727</v>
      </c>
      <c r="E166" s="46" t="n">
        <v>505.4493006590909</v>
      </c>
      <c r="F166" s="31" t="inlineStr">
        <is>
          <t>test</t>
        </is>
      </c>
      <c r="G166" s="31" t="n">
        <v>440</v>
      </c>
      <c r="H166" s="31" t="inlineStr">
        <is>
          <t>COMPLETED PILOT</t>
        </is>
      </c>
      <c r="I166" s="31" t="n"/>
      <c r="J166" s="31" t="n"/>
      <c r="K166" s="31" t="n"/>
    </row>
    <row r="167" ht="24" customHeight="1">
      <c r="A167" s="31" t="inlineStr">
        <is>
          <t>P018</t>
        </is>
      </c>
      <c r="B167" s="31" t="inlineStr">
        <is>
          <t>TDR</t>
        </is>
      </c>
      <c r="C167" s="31" t="n">
        <v>1001</v>
      </c>
      <c r="D167" s="46" t="n">
        <v>204.9052132701422</v>
      </c>
      <c r="E167" s="46" t="n">
        <v>524.1573067061612</v>
      </c>
      <c r="F167" s="31" t="inlineStr">
        <is>
          <t>test</t>
        </is>
      </c>
      <c r="G167" s="31" t="n">
        <v>422</v>
      </c>
      <c r="H167" s="31" t="inlineStr">
        <is>
          <t>COMPLETED PILOT</t>
        </is>
      </c>
      <c r="I167" s="31" t="n"/>
      <c r="J167" s="31" t="n"/>
      <c r="K167" s="31" t="n"/>
    </row>
    <row r="168" ht="24" customHeight="1">
      <c r="A168" s="31" t="inlineStr">
        <is>
          <t>P018</t>
        </is>
      </c>
      <c r="B168" s="31" t="inlineStr">
        <is>
          <t>TDR</t>
        </is>
      </c>
      <c r="C168" s="31" t="n">
        <v>1002</v>
      </c>
      <c r="D168" s="46" t="n">
        <v>195.5382716049383</v>
      </c>
      <c r="E168" s="46" t="n">
        <v>501.8814394814815</v>
      </c>
      <c r="F168" s="31" t="inlineStr">
        <is>
          <t>test</t>
        </is>
      </c>
      <c r="G168" s="31" t="n">
        <v>405</v>
      </c>
      <c r="H168" s="31" t="inlineStr">
        <is>
          <t>COMPLETED PILOT</t>
        </is>
      </c>
      <c r="I168" s="31" t="n"/>
      <c r="J168" s="31" t="n"/>
      <c r="K168" s="31" t="n"/>
    </row>
    <row r="169" ht="24" customHeight="1">
      <c r="A169" s="31" t="inlineStr">
        <is>
          <t>P018</t>
        </is>
      </c>
      <c r="B169" s="31" t="inlineStr">
        <is>
          <t>TDR</t>
        </is>
      </c>
      <c r="C169" s="31" t="n">
        <v>1003</v>
      </c>
      <c r="D169" s="46" t="n">
        <v>203.3568181818182</v>
      </c>
      <c r="E169" s="46" t="n">
        <v>520.8750858636364</v>
      </c>
      <c r="F169" s="31" t="inlineStr">
        <is>
          <t>test</t>
        </is>
      </c>
      <c r="G169" s="31" t="n">
        <v>440</v>
      </c>
      <c r="H169" s="31" t="inlineStr">
        <is>
          <t>COMPLETED PILOT</t>
        </is>
      </c>
      <c r="I169" s="31" t="n"/>
      <c r="J169" s="31" t="n"/>
      <c r="K169" s="31" t="n"/>
    </row>
    <row r="170" ht="24" customHeight="1">
      <c r="A170" s="31" t="inlineStr">
        <is>
          <t>P019</t>
        </is>
      </c>
      <c r="B170" s="31" t="inlineStr">
        <is>
          <t>SP</t>
        </is>
      </c>
      <c r="C170" s="31" t="n">
        <v>1</v>
      </c>
      <c r="D170" s="46" t="n">
        <v>331.9243697478992</v>
      </c>
      <c r="E170" s="46" t="n">
        <v>904.4933404621848</v>
      </c>
      <c r="F170" s="31" t="inlineStr">
        <is>
          <t>train</t>
        </is>
      </c>
      <c r="G170" s="31" t="n">
        <v>476</v>
      </c>
      <c r="H170" s="31" t="inlineStr">
        <is>
          <t>COMPLETED PILOT</t>
        </is>
      </c>
      <c r="I170" s="31" t="n"/>
      <c r="J170" s="31" t="n"/>
      <c r="K170" s="31" t="n"/>
    </row>
    <row r="171" ht="24" customHeight="1">
      <c r="A171" s="31" t="inlineStr">
        <is>
          <t>P019</t>
        </is>
      </c>
      <c r="B171" s="31" t="inlineStr">
        <is>
          <t>SP</t>
        </is>
      </c>
      <c r="C171" s="31" t="n">
        <v>2</v>
      </c>
      <c r="D171" s="46" t="n">
        <v>295.0512295081967</v>
      </c>
      <c r="E171" s="46" t="n">
        <v>792.1389216393443</v>
      </c>
      <c r="F171" s="31" t="inlineStr">
        <is>
          <t>train</t>
        </is>
      </c>
      <c r="G171" s="31" t="n">
        <v>488</v>
      </c>
      <c r="H171" s="31" t="inlineStr">
        <is>
          <t>COMPLETED PILOT</t>
        </is>
      </c>
      <c r="I171" s="31" t="n"/>
      <c r="J171" s="31" t="n"/>
      <c r="K171" s="31" t="n"/>
    </row>
    <row r="172" ht="24" customHeight="1">
      <c r="A172" s="31" t="inlineStr">
        <is>
          <t>P019</t>
        </is>
      </c>
      <c r="B172" s="31" t="inlineStr">
        <is>
          <t>SP</t>
        </is>
      </c>
      <c r="C172" s="31" t="n">
        <v>3</v>
      </c>
      <c r="D172" s="46" t="n">
        <v>302.9418103448276</v>
      </c>
      <c r="E172" s="46" t="n">
        <v>821.564836012931</v>
      </c>
      <c r="F172" s="31" t="inlineStr">
        <is>
          <t>train</t>
        </is>
      </c>
      <c r="G172" s="31" t="n">
        <v>464</v>
      </c>
      <c r="H172" s="31" t="inlineStr">
        <is>
          <t>COMPLETED PILOT</t>
        </is>
      </c>
      <c r="I172" s="31" t="n"/>
      <c r="J172" s="31" t="n"/>
      <c r="K172" s="31" t="n"/>
    </row>
    <row r="173" ht="24" customHeight="1">
      <c r="A173" s="31" t="inlineStr">
        <is>
          <t>P019</t>
        </is>
      </c>
      <c r="B173" s="31" t="inlineStr">
        <is>
          <t>DTT</t>
        </is>
      </c>
      <c r="C173" s="31" t="n">
        <v>1</v>
      </c>
      <c r="D173" s="46" t="n">
        <v>227.7542016806723</v>
      </c>
      <c r="E173" s="46" t="n">
        <v>580.1419218907563</v>
      </c>
      <c r="F173" s="31" t="inlineStr">
        <is>
          <t>train</t>
        </is>
      </c>
      <c r="G173" s="31" t="n">
        <v>476</v>
      </c>
      <c r="H173" s="31" t="inlineStr">
        <is>
          <t>COMPLETED PILOT</t>
        </is>
      </c>
      <c r="I173" s="31" t="n"/>
      <c r="J173" s="31" t="n"/>
      <c r="K173" s="31" t="n"/>
    </row>
    <row r="174" ht="24" customHeight="1">
      <c r="A174" s="31" t="inlineStr">
        <is>
          <t>P019</t>
        </is>
      </c>
      <c r="B174" s="31" t="inlineStr">
        <is>
          <t>DTT</t>
        </is>
      </c>
      <c r="C174" s="31" t="n">
        <v>2</v>
      </c>
      <c r="D174" s="46" t="n">
        <v>215.7889344262295</v>
      </c>
      <c r="E174" s="46" t="n">
        <v>549.9946579508197</v>
      </c>
      <c r="F174" s="31" t="inlineStr">
        <is>
          <t>train</t>
        </is>
      </c>
      <c r="G174" s="31" t="n">
        <v>488</v>
      </c>
      <c r="H174" s="31" t="inlineStr">
        <is>
          <t>COMPLETED PILOT</t>
        </is>
      </c>
      <c r="I174" s="31" t="n"/>
      <c r="J174" s="31" t="n"/>
      <c r="K174" s="31" t="n"/>
    </row>
    <row r="175" ht="24" customHeight="1">
      <c r="A175" s="31" t="inlineStr">
        <is>
          <t>P019</t>
        </is>
      </c>
      <c r="B175" s="31" t="inlineStr">
        <is>
          <t>DTT</t>
        </is>
      </c>
      <c r="C175" s="31" t="n">
        <v>3</v>
      </c>
      <c r="D175" s="46" t="n">
        <v>208.5150862068965</v>
      </c>
      <c r="E175" s="46" t="n">
        <v>524.8058348275862</v>
      </c>
      <c r="F175" s="31" t="inlineStr">
        <is>
          <t>train</t>
        </is>
      </c>
      <c r="G175" s="31" t="n">
        <v>464</v>
      </c>
      <c r="H175" s="31" t="inlineStr">
        <is>
          <t>COMPLETED PILOT</t>
        </is>
      </c>
      <c r="I175" s="31" t="n"/>
      <c r="J175" s="31" t="n"/>
      <c r="K175" s="31" t="n"/>
    </row>
    <row r="176" ht="24" customHeight="1">
      <c r="A176" s="31" t="inlineStr">
        <is>
          <t>P019</t>
        </is>
      </c>
      <c r="B176" s="31" t="inlineStr">
        <is>
          <t>TDR</t>
        </is>
      </c>
      <c r="C176" s="31" t="n">
        <v>1</v>
      </c>
      <c r="D176" s="46" t="n">
        <v>236.4978991596639</v>
      </c>
      <c r="E176" s="46" t="n">
        <v>599.7912776890756</v>
      </c>
      <c r="F176" s="31" t="inlineStr">
        <is>
          <t>train</t>
        </is>
      </c>
      <c r="G176" s="31" t="n">
        <v>476</v>
      </c>
      <c r="H176" s="31" t="inlineStr">
        <is>
          <t>COMPLETED PILOT</t>
        </is>
      </c>
      <c r="I176" s="31" t="n"/>
      <c r="J176" s="31" t="n"/>
      <c r="K176" s="31" t="n"/>
    </row>
    <row r="177" ht="24" customHeight="1">
      <c r="A177" s="31" t="inlineStr">
        <is>
          <t>P019</t>
        </is>
      </c>
      <c r="B177" s="31" t="inlineStr">
        <is>
          <t>TDR</t>
        </is>
      </c>
      <c r="C177" s="31" t="n">
        <v>2</v>
      </c>
      <c r="D177" s="46" t="n">
        <v>220.7766393442623</v>
      </c>
      <c r="E177" s="46" t="n">
        <v>561.238939057377</v>
      </c>
      <c r="F177" s="31" t="inlineStr">
        <is>
          <t>train</t>
        </is>
      </c>
      <c r="G177" s="31" t="n">
        <v>488</v>
      </c>
      <c r="H177" s="31" t="inlineStr">
        <is>
          <t>COMPLETED PILOT</t>
        </is>
      </c>
      <c r="I177" s="31" t="n"/>
      <c r="J177" s="31" t="n"/>
      <c r="K177" s="31" t="n"/>
    </row>
    <row r="178" ht="24" customHeight="1">
      <c r="A178" s="31" t="inlineStr">
        <is>
          <t>P019</t>
        </is>
      </c>
      <c r="B178" s="31" t="inlineStr">
        <is>
          <t>TDR</t>
        </is>
      </c>
      <c r="C178" s="31" t="n">
        <v>3</v>
      </c>
      <c r="D178" s="46" t="n">
        <v>217.635775862069</v>
      </c>
      <c r="E178" s="46" t="n">
        <v>552.180705237069</v>
      </c>
      <c r="F178" s="31" t="inlineStr">
        <is>
          <t>train</t>
        </is>
      </c>
      <c r="G178" s="31" t="n">
        <v>464</v>
      </c>
      <c r="H178" s="31" t="inlineStr">
        <is>
          <t>COMPLETED PILOT</t>
        </is>
      </c>
      <c r="I178" s="31" t="n"/>
      <c r="J178" s="31" t="n"/>
      <c r="K178" s="31" t="n"/>
    </row>
    <row r="179" ht="24" customHeight="1">
      <c r="A179" s="31" t="inlineStr">
        <is>
          <t>P020</t>
        </is>
      </c>
      <c r="B179" s="31" t="inlineStr">
        <is>
          <t>SP</t>
        </is>
      </c>
      <c r="C179" s="31" t="n">
        <v>1</v>
      </c>
      <c r="D179" s="46" t="n">
        <v>267.9768907563025</v>
      </c>
      <c r="E179" s="46" t="n">
        <v>715.3294004411765</v>
      </c>
      <c r="F179" s="31" t="inlineStr">
        <is>
          <t>train</t>
        </is>
      </c>
      <c r="G179" s="31" t="n">
        <v>476</v>
      </c>
      <c r="H179" s="31" t="inlineStr">
        <is>
          <t>COMPLETED PILOT</t>
        </is>
      </c>
      <c r="I179" s="31" t="n"/>
      <c r="J179" s="31" t="n"/>
      <c r="K179" s="31" t="n"/>
    </row>
    <row r="180" ht="24" customHeight="1">
      <c r="A180" s="31" t="inlineStr">
        <is>
          <t>P020</t>
        </is>
      </c>
      <c r="B180" s="31" t="inlineStr">
        <is>
          <t>SP</t>
        </is>
      </c>
      <c r="C180" s="31" t="n">
        <v>2</v>
      </c>
      <c r="D180" s="46" t="n">
        <v>231.2151639344262</v>
      </c>
      <c r="E180" s="46" t="n">
        <v>603.5725240368853</v>
      </c>
      <c r="F180" s="31" t="inlineStr">
        <is>
          <t>train</t>
        </is>
      </c>
      <c r="G180" s="31" t="n">
        <v>488</v>
      </c>
      <c r="H180" s="31" t="inlineStr">
        <is>
          <t>COMPLETED PILOT</t>
        </is>
      </c>
      <c r="I180" s="31" t="n"/>
      <c r="J180" s="31" t="n"/>
      <c r="K180" s="31" t="n"/>
    </row>
    <row r="181" ht="24" customHeight="1">
      <c r="A181" s="31" t="inlineStr">
        <is>
          <t>P020</t>
        </is>
      </c>
      <c r="B181" s="31" t="inlineStr">
        <is>
          <t>SP</t>
        </is>
      </c>
      <c r="C181" s="31" t="n">
        <v>3</v>
      </c>
      <c r="D181" s="46" t="n">
        <v>240.4547413793103</v>
      </c>
      <c r="E181" s="46" t="n">
        <v>635.793246400862</v>
      </c>
      <c r="F181" s="31" t="inlineStr">
        <is>
          <t>train</t>
        </is>
      </c>
      <c r="G181" s="31" t="n">
        <v>464</v>
      </c>
      <c r="H181" s="31" t="inlineStr">
        <is>
          <t>COMPLETED PILOT</t>
        </is>
      </c>
      <c r="I181" s="31" t="n"/>
      <c r="J181" s="31" t="n"/>
      <c r="K181" s="31" t="n"/>
    </row>
    <row r="182" ht="24" customHeight="1">
      <c r="A182" s="31" t="inlineStr">
        <is>
          <t>P020</t>
        </is>
      </c>
      <c r="B182" s="31" t="inlineStr">
        <is>
          <t>DTT</t>
        </is>
      </c>
      <c r="C182" s="31" t="n">
        <v>1</v>
      </c>
      <c r="D182" s="46" t="n">
        <v>215.5504201680672</v>
      </c>
      <c r="E182" s="46" t="n">
        <v>542.5637674789916</v>
      </c>
      <c r="F182" s="31" t="inlineStr">
        <is>
          <t>train</t>
        </is>
      </c>
      <c r="G182" s="31" t="n">
        <v>476</v>
      </c>
      <c r="H182" s="31" t="inlineStr">
        <is>
          <t>COMPLETED PILOT</t>
        </is>
      </c>
      <c r="I182" s="31" t="n"/>
      <c r="J182" s="31" t="n"/>
      <c r="K182" s="31" t="n"/>
    </row>
    <row r="183" ht="24" customHeight="1">
      <c r="A183" s="31" t="inlineStr">
        <is>
          <t>P020</t>
        </is>
      </c>
      <c r="B183" s="31" t="inlineStr">
        <is>
          <t>DTT</t>
        </is>
      </c>
      <c r="C183" s="31" t="n">
        <v>2</v>
      </c>
      <c r="D183" s="46" t="n">
        <v>212.327868852459</v>
      </c>
      <c r="E183" s="46" t="n">
        <v>541.919495102459</v>
      </c>
      <c r="F183" s="31" t="inlineStr">
        <is>
          <t>train</t>
        </is>
      </c>
      <c r="G183" s="31" t="n">
        <v>488</v>
      </c>
      <c r="H183" s="31" t="inlineStr">
        <is>
          <t>COMPLETED PILOT</t>
        </is>
      </c>
      <c r="I183" s="31" t="n"/>
      <c r="J183" s="31" t="n"/>
      <c r="K183" s="31" t="n"/>
    </row>
    <row r="184" ht="24" customHeight="1">
      <c r="A184" s="31" t="inlineStr">
        <is>
          <t>P020</t>
        </is>
      </c>
      <c r="B184" s="31" t="inlineStr">
        <is>
          <t>DTT</t>
        </is>
      </c>
      <c r="C184" s="31" t="n">
        <v>3</v>
      </c>
      <c r="D184" s="46" t="n">
        <v>206.0754310344828</v>
      </c>
      <c r="E184" s="46" t="n">
        <v>519.3041036422413</v>
      </c>
      <c r="F184" s="31" t="inlineStr">
        <is>
          <t>train</t>
        </is>
      </c>
      <c r="G184" s="31" t="n">
        <v>464</v>
      </c>
      <c r="H184" s="31" t="inlineStr">
        <is>
          <t>COMPLETED PILOT</t>
        </is>
      </c>
      <c r="I184" s="31" t="n"/>
      <c r="J184" s="31" t="n"/>
      <c r="K184" s="31" t="n"/>
    </row>
    <row r="185" ht="24" customHeight="1">
      <c r="A185" s="31" t="inlineStr">
        <is>
          <t>P020</t>
        </is>
      </c>
      <c r="B185" s="31" t="inlineStr">
        <is>
          <t>TDR</t>
        </is>
      </c>
      <c r="C185" s="31" t="n">
        <v>1</v>
      </c>
      <c r="D185" s="46" t="n">
        <v>222.5210084033613</v>
      </c>
      <c r="E185" s="46" t="n">
        <v>564.9520960084034</v>
      </c>
      <c r="F185" s="31" t="inlineStr">
        <is>
          <t>train</t>
        </is>
      </c>
      <c r="G185" s="31" t="n">
        <v>476</v>
      </c>
      <c r="H185" s="31" t="inlineStr">
        <is>
          <t>COMPLETED PILOT</t>
        </is>
      </c>
      <c r="I185" s="31" t="n"/>
      <c r="J185" s="31" t="n"/>
      <c r="K185" s="31" t="n"/>
    </row>
    <row r="186" ht="24" customHeight="1">
      <c r="A186" s="31" t="inlineStr">
        <is>
          <t>P020</t>
        </is>
      </c>
      <c r="B186" s="31" t="inlineStr">
        <is>
          <t>TDR</t>
        </is>
      </c>
      <c r="C186" s="31" t="n">
        <v>2</v>
      </c>
      <c r="D186" s="46" t="n">
        <v>215.0553278688525</v>
      </c>
      <c r="E186" s="46" t="n">
        <v>551.10395625</v>
      </c>
      <c r="F186" s="31" t="inlineStr">
        <is>
          <t>train</t>
        </is>
      </c>
      <c r="G186" s="31" t="n">
        <v>488</v>
      </c>
      <c r="H186" s="31" t="inlineStr">
        <is>
          <t>COMPLETED PILOT</t>
        </is>
      </c>
      <c r="I186" s="31" t="n"/>
      <c r="J186" s="31" t="n"/>
      <c r="K186" s="31" t="n"/>
    </row>
    <row r="187" ht="24" customHeight="1">
      <c r="A187" s="31" t="inlineStr">
        <is>
          <t>P020</t>
        </is>
      </c>
      <c r="B187" s="31" t="inlineStr">
        <is>
          <t>TDR</t>
        </is>
      </c>
      <c r="C187" s="31" t="n">
        <v>3</v>
      </c>
      <c r="D187" s="46" t="n">
        <v>210.9676724137931</v>
      </c>
      <c r="E187" s="46" t="n">
        <v>536.6548365732758</v>
      </c>
      <c r="F187" s="31" t="inlineStr">
        <is>
          <t>train</t>
        </is>
      </c>
      <c r="G187" s="31" t="n">
        <v>464</v>
      </c>
      <c r="H187" s="31" t="inlineStr">
        <is>
          <t>COMPLETED PILOT</t>
        </is>
      </c>
      <c r="I187" s="31" t="n"/>
      <c r="J187" s="31" t="n"/>
      <c r="K187" s="31" t="n"/>
    </row>
    <row r="188" ht="24" customHeight="1">
      <c r="A188" s="31" t="inlineStr">
        <is>
          <t>P021</t>
        </is>
      </c>
      <c r="B188" s="31" t="inlineStr">
        <is>
          <t>SP</t>
        </is>
      </c>
      <c r="C188" s="31" t="n">
        <v>1</v>
      </c>
      <c r="D188" s="46" t="n">
        <v>241.8991596638655</v>
      </c>
      <c r="E188" s="46" t="n">
        <v>637.2821089285715</v>
      </c>
      <c r="F188" s="31" t="inlineStr">
        <is>
          <t>train</t>
        </is>
      </c>
      <c r="G188" s="31" t="n">
        <v>476</v>
      </c>
      <c r="H188" s="31" t="inlineStr">
        <is>
          <t>COMPLETED PILOT</t>
        </is>
      </c>
      <c r="I188" s="31" t="n"/>
      <c r="J188" s="31" t="n"/>
      <c r="K188" s="31" t="n"/>
    </row>
    <row r="189" ht="24" customHeight="1">
      <c r="A189" s="31" t="inlineStr">
        <is>
          <t>P021</t>
        </is>
      </c>
      <c r="B189" s="31" t="inlineStr">
        <is>
          <t>SP</t>
        </is>
      </c>
      <c r="C189" s="31" t="n">
        <v>2</v>
      </c>
      <c r="D189" s="46" t="n">
        <v>215.6700819672131</v>
      </c>
      <c r="E189" s="46" t="n">
        <v>560.1093579918032</v>
      </c>
      <c r="F189" s="31" t="inlineStr">
        <is>
          <t>train</t>
        </is>
      </c>
      <c r="G189" s="31" t="n">
        <v>488</v>
      </c>
      <c r="H189" s="31" t="inlineStr">
        <is>
          <t>COMPLETED PILOT</t>
        </is>
      </c>
      <c r="I189" s="31" t="n"/>
      <c r="J189" s="31" t="n"/>
      <c r="K189" s="31" t="n"/>
    </row>
    <row r="190" ht="24" customHeight="1">
      <c r="A190" s="31" t="inlineStr">
        <is>
          <t>P021</t>
        </is>
      </c>
      <c r="B190" s="31" t="inlineStr">
        <is>
          <t>SP</t>
        </is>
      </c>
      <c r="C190" s="31" t="n">
        <v>3</v>
      </c>
      <c r="D190" s="46" t="n">
        <v>224.5193965517241</v>
      </c>
      <c r="E190" s="46" t="n">
        <v>588.4529673060345</v>
      </c>
      <c r="F190" s="31" t="inlineStr">
        <is>
          <t>train</t>
        </is>
      </c>
      <c r="G190" s="31" t="n">
        <v>464</v>
      </c>
      <c r="H190" s="31" t="inlineStr">
        <is>
          <t>COMPLETED PILOT</t>
        </is>
      </c>
      <c r="I190" s="31" t="n"/>
      <c r="J190" s="31" t="n"/>
      <c r="K190" s="31" t="n"/>
    </row>
    <row r="191" ht="24" customHeight="1">
      <c r="A191" s="31" t="inlineStr">
        <is>
          <t>P021</t>
        </is>
      </c>
      <c r="B191" s="31" t="inlineStr">
        <is>
          <t>DTT</t>
        </is>
      </c>
      <c r="C191" s="31" t="n">
        <v>1</v>
      </c>
      <c r="D191" s="46" t="n">
        <v>215.3256302521008</v>
      </c>
      <c r="E191" s="46" t="n">
        <v>542.4311569537815</v>
      </c>
      <c r="F191" s="31" t="inlineStr">
        <is>
          <t>train</t>
        </is>
      </c>
      <c r="G191" s="31" t="n">
        <v>476</v>
      </c>
      <c r="H191" s="31" t="inlineStr">
        <is>
          <t>COMPLETED PILOT</t>
        </is>
      </c>
      <c r="I191" s="31" t="n"/>
      <c r="J191" s="31" t="n"/>
      <c r="K191" s="31" t="n"/>
    </row>
    <row r="192" ht="24" customHeight="1">
      <c r="A192" s="31" t="inlineStr">
        <is>
          <t>P021</t>
        </is>
      </c>
      <c r="B192" s="31" t="inlineStr">
        <is>
          <t>DTT</t>
        </is>
      </c>
      <c r="C192" s="31" t="n">
        <v>2</v>
      </c>
      <c r="D192" s="46" t="n">
        <v>210.9979508196721</v>
      </c>
      <c r="E192" s="46" t="n">
        <v>539.3133297745902</v>
      </c>
      <c r="F192" s="31" t="inlineStr">
        <is>
          <t>train</t>
        </is>
      </c>
      <c r="G192" s="31" t="n">
        <v>488</v>
      </c>
      <c r="H192" s="31" t="inlineStr">
        <is>
          <t>COMPLETED PILOT</t>
        </is>
      </c>
      <c r="I192" s="31" t="n"/>
      <c r="J192" s="31" t="n"/>
      <c r="K192" s="31" t="n"/>
    </row>
    <row r="193" ht="24" customHeight="1">
      <c r="A193" s="31" t="inlineStr">
        <is>
          <t>P021</t>
        </is>
      </c>
      <c r="B193" s="31" t="inlineStr">
        <is>
          <t>DTT</t>
        </is>
      </c>
      <c r="C193" s="31" t="n">
        <v>3</v>
      </c>
      <c r="D193" s="46" t="n">
        <v>211.4008620689655</v>
      </c>
      <c r="E193" s="46" t="n">
        <v>536.1597863146552</v>
      </c>
      <c r="F193" s="31" t="inlineStr">
        <is>
          <t>train</t>
        </is>
      </c>
      <c r="G193" s="31" t="n">
        <v>464</v>
      </c>
      <c r="H193" s="31" t="inlineStr">
        <is>
          <t>COMPLETED PILOT</t>
        </is>
      </c>
      <c r="I193" s="31" t="n"/>
      <c r="J193" s="31" t="n"/>
      <c r="K193" s="31" t="n"/>
    </row>
    <row r="194" ht="24" customHeight="1">
      <c r="A194" s="31" t="inlineStr">
        <is>
          <t>P021</t>
        </is>
      </c>
      <c r="B194" s="31" t="inlineStr">
        <is>
          <t>TDR</t>
        </is>
      </c>
      <c r="C194" s="31" t="n">
        <v>1</v>
      </c>
      <c r="D194" s="46" t="n">
        <v>224.8403361344538</v>
      </c>
      <c r="E194" s="46" t="n">
        <v>578.1740375630252</v>
      </c>
      <c r="F194" s="31" t="inlineStr">
        <is>
          <t>train</t>
        </is>
      </c>
      <c r="G194" s="31" t="n">
        <v>476</v>
      </c>
      <c r="H194" s="31" t="inlineStr">
        <is>
          <t>COMPLETED PILOT</t>
        </is>
      </c>
      <c r="I194" s="31" t="n"/>
      <c r="J194" s="31" t="n"/>
      <c r="K194" s="31" t="n"/>
    </row>
    <row r="195" ht="24" customHeight="1">
      <c r="A195" s="31" t="inlineStr">
        <is>
          <t>P021</t>
        </is>
      </c>
      <c r="B195" s="31" t="inlineStr">
        <is>
          <t>TDR</t>
        </is>
      </c>
      <c r="C195" s="31" t="n">
        <v>2</v>
      </c>
      <c r="D195" s="46" t="n">
        <v>211.2704918032787</v>
      </c>
      <c r="E195" s="46" t="n">
        <v>542.5272826229508</v>
      </c>
      <c r="F195" s="31" t="inlineStr">
        <is>
          <t>train</t>
        </is>
      </c>
      <c r="G195" s="31" t="n">
        <v>488</v>
      </c>
      <c r="H195" s="31" t="inlineStr">
        <is>
          <t>COMPLETED PILOT</t>
        </is>
      </c>
      <c r="I195" s="31" t="n"/>
      <c r="J195" s="31" t="n"/>
      <c r="K195" s="31" t="n"/>
    </row>
    <row r="196" ht="24" customHeight="1">
      <c r="A196" s="31" t="inlineStr">
        <is>
          <t>P021</t>
        </is>
      </c>
      <c r="B196" s="31" t="inlineStr">
        <is>
          <t>TDR</t>
        </is>
      </c>
      <c r="C196" s="31" t="n">
        <v>3</v>
      </c>
      <c r="D196" s="46" t="n">
        <v>209.7887931034483</v>
      </c>
      <c r="E196" s="46" t="n">
        <v>536.1473688793103</v>
      </c>
      <c r="F196" s="31" t="inlineStr">
        <is>
          <t>train</t>
        </is>
      </c>
      <c r="G196" s="31" t="n">
        <v>464</v>
      </c>
      <c r="H196" s="31" t="inlineStr">
        <is>
          <t>COMPLETED PILOT</t>
        </is>
      </c>
      <c r="I196" s="31" t="n"/>
      <c r="J196" s="31" t="n"/>
      <c r="K196" s="31" t="n"/>
    </row>
    <row r="197" ht="24" customHeight="1">
      <c r="A197" s="31" t="inlineStr">
        <is>
          <t>P022</t>
        </is>
      </c>
      <c r="B197" s="31" t="inlineStr">
        <is>
          <t>SP</t>
        </is>
      </c>
      <c r="C197" s="31" t="n">
        <v>1</v>
      </c>
      <c r="D197" s="46" t="n">
        <v>392.6666666666667</v>
      </c>
      <c r="E197" s="46" t="n">
        <v>1091.182267699805</v>
      </c>
      <c r="F197" s="31" t="inlineStr">
        <is>
          <t>train</t>
        </is>
      </c>
      <c r="G197" s="31" t="n">
        <v>513</v>
      </c>
      <c r="H197" s="31" t="inlineStr">
        <is>
          <t>COMPLETED PILOT</t>
        </is>
      </c>
      <c r="I197" s="31" t="n"/>
      <c r="J197" s="31" t="n"/>
      <c r="K197" s="31" t="n"/>
    </row>
    <row r="198" ht="24" customHeight="1">
      <c r="A198" s="31" t="inlineStr">
        <is>
          <t>P022</t>
        </is>
      </c>
      <c r="B198" s="31" t="inlineStr">
        <is>
          <t>SP</t>
        </is>
      </c>
      <c r="C198" s="31" t="n">
        <v>2</v>
      </c>
      <c r="D198" s="46" t="n">
        <v>340.2284069097889</v>
      </c>
      <c r="E198" s="46" t="n">
        <v>933.029989462572</v>
      </c>
      <c r="F198" s="31" t="inlineStr">
        <is>
          <t>train</t>
        </is>
      </c>
      <c r="G198" s="31" t="n">
        <v>521</v>
      </c>
      <c r="H198" s="31" t="inlineStr">
        <is>
          <t>COMPLETED PILOT</t>
        </is>
      </c>
      <c r="I198" s="31" t="n"/>
      <c r="J198" s="31" t="n"/>
      <c r="K198" s="31" t="n"/>
    </row>
    <row r="199" ht="24" customHeight="1">
      <c r="A199" s="31" t="inlineStr">
        <is>
          <t>P022</t>
        </is>
      </c>
      <c r="B199" s="31" t="inlineStr">
        <is>
          <t>SP</t>
        </is>
      </c>
      <c r="C199" s="31" t="n">
        <v>3</v>
      </c>
      <c r="D199" s="46" t="n">
        <v>344.53</v>
      </c>
      <c r="E199" s="46" t="n">
        <v>948.15629354</v>
      </c>
      <c r="F199" s="31" t="inlineStr">
        <is>
          <t>train</t>
        </is>
      </c>
      <c r="G199" s="31" t="n">
        <v>500</v>
      </c>
      <c r="H199" s="31" t="inlineStr">
        <is>
          <t>COMPLETED PILOT</t>
        </is>
      </c>
      <c r="I199" s="31" t="n"/>
      <c r="J199" s="31" t="n"/>
      <c r="K199" s="31" t="n"/>
    </row>
    <row r="200" ht="24" customHeight="1">
      <c r="A200" s="31" t="inlineStr">
        <is>
          <t>P022</t>
        </is>
      </c>
      <c r="B200" s="31" t="inlineStr">
        <is>
          <t>DTT</t>
        </is>
      </c>
      <c r="C200" s="31" t="n">
        <v>1</v>
      </c>
      <c r="D200" s="46" t="n">
        <v>229.8031189083821</v>
      </c>
      <c r="E200" s="46" t="n">
        <v>580.1534299610137</v>
      </c>
      <c r="F200" s="31" t="inlineStr">
        <is>
          <t>train</t>
        </is>
      </c>
      <c r="G200" s="31" t="n">
        <v>513</v>
      </c>
      <c r="H200" s="31" t="inlineStr">
        <is>
          <t>COMPLETED PILOT</t>
        </is>
      </c>
      <c r="I200" s="31" t="n"/>
      <c r="J200" s="31" t="n"/>
      <c r="K200" s="31" t="n"/>
    </row>
    <row r="201" ht="24" customHeight="1">
      <c r="A201" s="31" t="inlineStr">
        <is>
          <t>P022</t>
        </is>
      </c>
      <c r="B201" s="31" t="inlineStr">
        <is>
          <t>DTT</t>
        </is>
      </c>
      <c r="C201" s="31" t="n">
        <v>2</v>
      </c>
      <c r="D201" s="46" t="n">
        <v>219.9673704414587</v>
      </c>
      <c r="E201" s="46" t="n">
        <v>559.35788243762</v>
      </c>
      <c r="F201" s="31" t="inlineStr">
        <is>
          <t>train</t>
        </is>
      </c>
      <c r="G201" s="31" t="n">
        <v>521</v>
      </c>
      <c r="H201" s="31" t="inlineStr">
        <is>
          <t>COMPLETED PILOT</t>
        </is>
      </c>
      <c r="I201" s="31" t="n"/>
      <c r="J201" s="31" t="n"/>
      <c r="K201" s="31" t="n"/>
    </row>
    <row r="202" ht="24" customHeight="1">
      <c r="A202" s="31" t="inlineStr">
        <is>
          <t>P022</t>
        </is>
      </c>
      <c r="B202" s="31" t="inlineStr">
        <is>
          <t>DTT</t>
        </is>
      </c>
      <c r="C202" s="31" t="n">
        <v>3</v>
      </c>
      <c r="D202" s="46" t="n">
        <v>227.092</v>
      </c>
      <c r="E202" s="46" t="n">
        <v>572.02084158</v>
      </c>
      <c r="F202" s="31" t="inlineStr">
        <is>
          <t>train</t>
        </is>
      </c>
      <c r="G202" s="31" t="n">
        <v>500</v>
      </c>
      <c r="H202" s="31" t="inlineStr">
        <is>
          <t>COMPLETED PILOT</t>
        </is>
      </c>
      <c r="I202" s="31" t="n"/>
      <c r="J202" s="31" t="n"/>
      <c r="K202" s="31" t="n"/>
    </row>
    <row r="203" ht="24" customHeight="1">
      <c r="A203" s="31" t="inlineStr">
        <is>
          <t>P022</t>
        </is>
      </c>
      <c r="B203" s="31" t="inlineStr">
        <is>
          <t>TDR</t>
        </is>
      </c>
      <c r="C203" s="31" t="n">
        <v>1</v>
      </c>
      <c r="D203" s="46" t="n">
        <v>252.0409356725146</v>
      </c>
      <c r="E203" s="46" t="n">
        <v>640.3219084015594</v>
      </c>
      <c r="F203" s="31" t="inlineStr">
        <is>
          <t>train</t>
        </is>
      </c>
      <c r="G203" s="31" t="n">
        <v>513</v>
      </c>
      <c r="H203" s="31" t="inlineStr">
        <is>
          <t>COMPLETED PILOT</t>
        </is>
      </c>
      <c r="I203" s="31" t="n"/>
      <c r="J203" s="31" t="n"/>
      <c r="K203" s="31" t="n"/>
    </row>
    <row r="204" ht="24" customHeight="1">
      <c r="A204" s="31" t="inlineStr">
        <is>
          <t>P022</t>
        </is>
      </c>
      <c r="B204" s="31" t="inlineStr">
        <is>
          <t>TDR</t>
        </is>
      </c>
      <c r="C204" s="31" t="n">
        <v>2</v>
      </c>
      <c r="D204" s="46" t="n">
        <v>230.1228406909789</v>
      </c>
      <c r="E204" s="46" t="n">
        <v>585.7190240499041</v>
      </c>
      <c r="F204" s="31" t="inlineStr">
        <is>
          <t>train</t>
        </is>
      </c>
      <c r="G204" s="31" t="n">
        <v>521</v>
      </c>
      <c r="H204" s="31" t="inlineStr">
        <is>
          <t>COMPLETED PILOT</t>
        </is>
      </c>
      <c r="I204" s="31" t="n"/>
      <c r="J204" s="31" t="n"/>
      <c r="K204" s="31" t="n"/>
    </row>
    <row r="205" ht="24" customHeight="1">
      <c r="A205" s="31" t="inlineStr">
        <is>
          <t>P022</t>
        </is>
      </c>
      <c r="B205" s="31" t="inlineStr">
        <is>
          <t>TDR</t>
        </is>
      </c>
      <c r="C205" s="31" t="n">
        <v>3</v>
      </c>
      <c r="D205" s="46" t="n">
        <v>231.578</v>
      </c>
      <c r="E205" s="46" t="n">
        <v>589.46650268</v>
      </c>
      <c r="F205" s="31" t="inlineStr">
        <is>
          <t>train</t>
        </is>
      </c>
      <c r="G205" s="31" t="n">
        <v>500</v>
      </c>
      <c r="H205" s="31" t="inlineStr">
        <is>
          <t>COMPLETED PILOT</t>
        </is>
      </c>
      <c r="I205" s="31" t="n"/>
      <c r="J205" s="31" t="n"/>
      <c r="K205" s="31" t="n"/>
    </row>
    <row r="206" ht="24" customHeight="1">
      <c r="A206" s="31" t="inlineStr">
        <is>
          <t>P023</t>
        </is>
      </c>
      <c r="B206" s="31" t="inlineStr">
        <is>
          <t>SP</t>
        </is>
      </c>
      <c r="C206" s="31" t="n">
        <v>1</v>
      </c>
      <c r="D206" s="46" t="n">
        <v>323.2768031189084</v>
      </c>
      <c r="E206" s="46" t="n">
        <v>887.4988770955166</v>
      </c>
      <c r="F206" s="31" t="inlineStr">
        <is>
          <t>train</t>
        </is>
      </c>
      <c r="G206" s="31" t="n">
        <v>513</v>
      </c>
      <c r="H206" s="31" t="inlineStr">
        <is>
          <t>COMPLETED PILOT</t>
        </is>
      </c>
      <c r="I206" s="31" t="n"/>
      <c r="J206" s="31" t="n"/>
      <c r="K206" s="31" t="n"/>
    </row>
    <row r="207" ht="24" customHeight="1">
      <c r="A207" s="31" t="inlineStr">
        <is>
          <t>P023</t>
        </is>
      </c>
      <c r="B207" s="31" t="inlineStr">
        <is>
          <t>SP</t>
        </is>
      </c>
      <c r="C207" s="31" t="n">
        <v>2</v>
      </c>
      <c r="D207" s="46" t="n">
        <v>276.4030710172745</v>
      </c>
      <c r="E207" s="46" t="n">
        <v>744.9678852399232</v>
      </c>
      <c r="F207" s="31" t="inlineStr">
        <is>
          <t>train</t>
        </is>
      </c>
      <c r="G207" s="31" t="n">
        <v>521</v>
      </c>
      <c r="H207" s="31" t="inlineStr">
        <is>
          <t>COMPLETED PILOT</t>
        </is>
      </c>
      <c r="I207" s="31" t="n"/>
      <c r="J207" s="31" t="n"/>
      <c r="K207" s="31" t="n"/>
    </row>
    <row r="208" ht="24" customHeight="1">
      <c r="A208" s="31" t="inlineStr">
        <is>
          <t>P023</t>
        </is>
      </c>
      <c r="B208" s="31" t="inlineStr">
        <is>
          <t>SP</t>
        </is>
      </c>
      <c r="C208" s="31" t="n">
        <v>3</v>
      </c>
      <c r="D208" s="46" t="n">
        <v>276.94</v>
      </c>
      <c r="E208" s="46" t="n">
        <v>749.05898596</v>
      </c>
      <c r="F208" s="31" t="inlineStr">
        <is>
          <t>train</t>
        </is>
      </c>
      <c r="G208" s="31" t="n">
        <v>500</v>
      </c>
      <c r="H208" s="31" t="inlineStr">
        <is>
          <t>COMPLETED PILOT</t>
        </is>
      </c>
      <c r="I208" s="31" t="n"/>
      <c r="J208" s="31" t="n"/>
      <c r="K208" s="31" t="n"/>
    </row>
    <row r="209" ht="24" customHeight="1">
      <c r="A209" s="31" t="inlineStr">
        <is>
          <t>P023</t>
        </is>
      </c>
      <c r="B209" s="31" t="inlineStr">
        <is>
          <t>DTT</t>
        </is>
      </c>
      <c r="C209" s="31" t="n">
        <v>1</v>
      </c>
      <c r="D209" s="46" t="n">
        <v>225.5594541910331</v>
      </c>
      <c r="E209" s="46" t="n">
        <v>570.2035302339182</v>
      </c>
      <c r="F209" s="31" t="inlineStr">
        <is>
          <t>train</t>
        </is>
      </c>
      <c r="G209" s="31" t="n">
        <v>513</v>
      </c>
      <c r="H209" s="31" t="inlineStr">
        <is>
          <t>COMPLETED PILOT</t>
        </is>
      </c>
      <c r="I209" s="31" t="n"/>
      <c r="J209" s="31" t="n"/>
      <c r="K209" s="31" t="n"/>
    </row>
    <row r="210" ht="24" customHeight="1">
      <c r="A210" s="31" t="inlineStr">
        <is>
          <t>P023</t>
        </is>
      </c>
      <c r="B210" s="31" t="inlineStr">
        <is>
          <t>DTT</t>
        </is>
      </c>
      <c r="C210" s="31" t="n">
        <v>2</v>
      </c>
      <c r="D210" s="46" t="n">
        <v>209.2514395393474</v>
      </c>
      <c r="E210" s="46" t="n">
        <v>526.6060052015355</v>
      </c>
      <c r="F210" s="31" t="inlineStr">
        <is>
          <t>train</t>
        </is>
      </c>
      <c r="G210" s="31" t="n">
        <v>521</v>
      </c>
      <c r="H210" s="31" t="inlineStr">
        <is>
          <t>COMPLETED PILOT</t>
        </is>
      </c>
      <c r="I210" s="31" t="n"/>
      <c r="J210" s="31" t="n"/>
      <c r="K210" s="31" t="n"/>
    </row>
    <row r="211" ht="24" customHeight="1">
      <c r="A211" s="31" t="inlineStr">
        <is>
          <t>P023</t>
        </is>
      </c>
      <c r="B211" s="31" t="inlineStr">
        <is>
          <t>DTT</t>
        </is>
      </c>
      <c r="C211" s="31" t="n">
        <v>3</v>
      </c>
      <c r="D211" s="46" t="n">
        <v>219.704</v>
      </c>
      <c r="E211" s="46" t="n">
        <v>555.97426286</v>
      </c>
      <c r="F211" s="31" t="inlineStr">
        <is>
          <t>train</t>
        </is>
      </c>
      <c r="G211" s="31" t="n">
        <v>500</v>
      </c>
      <c r="H211" s="31" t="inlineStr">
        <is>
          <t>COMPLETED PILOT</t>
        </is>
      </c>
      <c r="I211" s="31" t="n"/>
      <c r="J211" s="31" t="n"/>
      <c r="K211" s="31" t="n"/>
    </row>
    <row r="212" ht="24" customHeight="1">
      <c r="A212" s="31" t="inlineStr">
        <is>
          <t>P023</t>
        </is>
      </c>
      <c r="B212" s="31" t="inlineStr">
        <is>
          <t>TDR</t>
        </is>
      </c>
      <c r="C212" s="31" t="n">
        <v>1</v>
      </c>
      <c r="D212" s="46" t="n">
        <v>238.0799220272905</v>
      </c>
      <c r="E212" s="46" t="n">
        <v>605.6989128070176</v>
      </c>
      <c r="F212" s="31" t="inlineStr">
        <is>
          <t>train</t>
        </is>
      </c>
      <c r="G212" s="31" t="n">
        <v>513</v>
      </c>
      <c r="H212" s="31" t="inlineStr">
        <is>
          <t>COMPLETED PILOT</t>
        </is>
      </c>
      <c r="I212" s="31" t="n"/>
      <c r="J212" s="31" t="n"/>
      <c r="K212" s="31" t="n"/>
    </row>
    <row r="213" ht="24" customHeight="1">
      <c r="A213" s="31" t="inlineStr">
        <is>
          <t>P023</t>
        </is>
      </c>
      <c r="B213" s="31" t="inlineStr">
        <is>
          <t>TDR</t>
        </is>
      </c>
      <c r="C213" s="31" t="n">
        <v>2</v>
      </c>
      <c r="D213" s="46" t="n">
        <v>224.4030710172745</v>
      </c>
      <c r="E213" s="46" t="n">
        <v>575.6437725911708</v>
      </c>
      <c r="F213" s="31" t="inlineStr">
        <is>
          <t>train</t>
        </is>
      </c>
      <c r="G213" s="31" t="n">
        <v>521</v>
      </c>
      <c r="H213" s="31" t="inlineStr">
        <is>
          <t>COMPLETED PILOT</t>
        </is>
      </c>
      <c r="I213" s="31" t="n"/>
      <c r="J213" s="31" t="n"/>
      <c r="K213" s="31" t="n"/>
    </row>
    <row r="214" ht="24" customHeight="1">
      <c r="A214" s="31" t="inlineStr">
        <is>
          <t>P023</t>
        </is>
      </c>
      <c r="B214" s="31" t="inlineStr">
        <is>
          <t>TDR</t>
        </is>
      </c>
      <c r="C214" s="31" t="n">
        <v>3</v>
      </c>
      <c r="D214" s="46" t="n">
        <v>215.348</v>
      </c>
      <c r="E214" s="46" t="n">
        <v>548.2274018000001</v>
      </c>
      <c r="F214" s="31" t="inlineStr">
        <is>
          <t>train</t>
        </is>
      </c>
      <c r="G214" s="31" t="n">
        <v>500</v>
      </c>
      <c r="H214" s="31" t="inlineStr">
        <is>
          <t>COMPLETED PILOT</t>
        </is>
      </c>
      <c r="I214" s="31" t="n"/>
      <c r="J214" s="31" t="n"/>
      <c r="K214" s="31" t="n"/>
    </row>
    <row r="215" ht="24" customHeight="1">
      <c r="A215" s="31" t="inlineStr">
        <is>
          <t>P024</t>
        </is>
      </c>
      <c r="B215" s="31" t="inlineStr">
        <is>
          <t>SP</t>
        </is>
      </c>
      <c r="C215" s="31" t="n">
        <v>1</v>
      </c>
      <c r="D215" s="46" t="n">
        <v>290.8265107212476</v>
      </c>
      <c r="E215" s="46" t="n">
        <v>793.5727872709551</v>
      </c>
      <c r="F215" s="31" t="inlineStr">
        <is>
          <t>train</t>
        </is>
      </c>
      <c r="G215" s="31" t="n">
        <v>513</v>
      </c>
      <c r="H215" s="31" t="inlineStr">
        <is>
          <t>COMPLETED PILOT</t>
        </is>
      </c>
      <c r="I215" s="31" t="n"/>
      <c r="J215" s="31" t="n"/>
      <c r="K215" s="31" t="n"/>
    </row>
    <row r="216" ht="24" customHeight="1">
      <c r="A216" s="31" t="inlineStr">
        <is>
          <t>P024</t>
        </is>
      </c>
      <c r="B216" s="31" t="inlineStr">
        <is>
          <t>SP</t>
        </is>
      </c>
      <c r="C216" s="31" t="n">
        <v>2</v>
      </c>
      <c r="D216" s="46" t="n">
        <v>246.5719769673704</v>
      </c>
      <c r="E216" s="46" t="n">
        <v>658.6789126487524</v>
      </c>
      <c r="F216" s="31" t="inlineStr">
        <is>
          <t>train</t>
        </is>
      </c>
      <c r="G216" s="31" t="n">
        <v>521</v>
      </c>
      <c r="H216" s="31" t="inlineStr">
        <is>
          <t>COMPLETED PILOT</t>
        </is>
      </c>
      <c r="I216" s="31" t="n"/>
      <c r="J216" s="31" t="n"/>
      <c r="K216" s="31" t="n"/>
    </row>
    <row r="217" ht="24" customHeight="1">
      <c r="A217" s="31" t="inlineStr">
        <is>
          <t>P024</t>
        </is>
      </c>
      <c r="B217" s="31" t="inlineStr">
        <is>
          <t>SP</t>
        </is>
      </c>
      <c r="C217" s="31" t="n">
        <v>3</v>
      </c>
      <c r="D217" s="46" t="n">
        <v>260.828</v>
      </c>
      <c r="E217" s="46" t="n">
        <v>703.1495071000001</v>
      </c>
      <c r="F217" s="31" t="inlineStr">
        <is>
          <t>train</t>
        </is>
      </c>
      <c r="G217" s="31" t="n">
        <v>500</v>
      </c>
      <c r="H217" s="31" t="inlineStr">
        <is>
          <t>COMPLETED PILOT</t>
        </is>
      </c>
      <c r="I217" s="31" t="n"/>
      <c r="J217" s="31" t="n"/>
      <c r="K217" s="31" t="n"/>
    </row>
    <row r="218" ht="24" customHeight="1">
      <c r="A218" s="31" t="inlineStr">
        <is>
          <t>P024</t>
        </is>
      </c>
      <c r="B218" s="31" t="inlineStr">
        <is>
          <t>DTT</t>
        </is>
      </c>
      <c r="C218" s="31" t="n">
        <v>1</v>
      </c>
      <c r="D218" s="46" t="n">
        <v>225.3469785575049</v>
      </c>
      <c r="E218" s="46" t="n">
        <v>570.0851721247564</v>
      </c>
      <c r="F218" s="31" t="inlineStr">
        <is>
          <t>train</t>
        </is>
      </c>
      <c r="G218" s="31" t="n">
        <v>513</v>
      </c>
      <c r="H218" s="31" t="inlineStr">
        <is>
          <t>COMPLETED PILOT</t>
        </is>
      </c>
      <c r="I218" s="31" t="n"/>
      <c r="J218" s="31" t="n"/>
      <c r="K218" s="31" t="n"/>
    </row>
    <row r="219" ht="24" customHeight="1">
      <c r="A219" s="31" t="inlineStr">
        <is>
          <t>P024</t>
        </is>
      </c>
      <c r="B219" s="31" t="inlineStr">
        <is>
          <t>DTT</t>
        </is>
      </c>
      <c r="C219" s="31" t="n">
        <v>2</v>
      </c>
      <c r="D219" s="46" t="n">
        <v>209.147792706334</v>
      </c>
      <c r="E219" s="46" t="n">
        <v>527.5423733397313</v>
      </c>
      <c r="F219" s="31" t="inlineStr">
        <is>
          <t>train</t>
        </is>
      </c>
      <c r="G219" s="31" t="n">
        <v>521</v>
      </c>
      <c r="H219" s="31" t="inlineStr">
        <is>
          <t>COMPLETED PILOT</t>
        </is>
      </c>
      <c r="I219" s="31" t="n"/>
      <c r="J219" s="31" t="n"/>
      <c r="K219" s="31" t="n"/>
    </row>
    <row r="220" ht="24" customHeight="1">
      <c r="A220" s="31" t="inlineStr">
        <is>
          <t>P024</t>
        </is>
      </c>
      <c r="B220" s="31" t="inlineStr">
        <is>
          <t>DTT</t>
        </is>
      </c>
      <c r="C220" s="31" t="n">
        <v>3</v>
      </c>
      <c r="D220" s="46" t="n">
        <v>222.778</v>
      </c>
      <c r="E220" s="46" t="n">
        <v>568.2988198199999</v>
      </c>
      <c r="F220" s="31" t="inlineStr">
        <is>
          <t>train</t>
        </is>
      </c>
      <c r="G220" s="31" t="n">
        <v>500</v>
      </c>
      <c r="H220" s="31" t="inlineStr">
        <is>
          <t>COMPLETED PILOT</t>
        </is>
      </c>
      <c r="I220" s="31" t="n"/>
      <c r="J220" s="31" t="n"/>
      <c r="K220" s="31" t="n"/>
    </row>
    <row r="221" ht="24" customHeight="1">
      <c r="A221" s="31" t="inlineStr">
        <is>
          <t>P024</t>
        </is>
      </c>
      <c r="B221" s="31" t="inlineStr">
        <is>
          <t>TDR</t>
        </is>
      </c>
      <c r="C221" s="31" t="n">
        <v>1</v>
      </c>
      <c r="D221" s="46" t="n">
        <v>233.775828460039</v>
      </c>
      <c r="E221" s="46" t="n">
        <v>599.2753995321638</v>
      </c>
      <c r="F221" s="31" t="inlineStr">
        <is>
          <t>train</t>
        </is>
      </c>
      <c r="G221" s="31" t="n">
        <v>513</v>
      </c>
      <c r="H221" s="31" t="inlineStr">
        <is>
          <t>COMPLETED PILOT</t>
        </is>
      </c>
      <c r="I221" s="31" t="n"/>
      <c r="J221" s="31" t="n"/>
      <c r="K221" s="31" t="n"/>
    </row>
    <row r="222" ht="24" customHeight="1">
      <c r="A222" s="31" t="inlineStr">
        <is>
          <t>P024</t>
        </is>
      </c>
      <c r="B222" s="31" t="inlineStr">
        <is>
          <t>TDR</t>
        </is>
      </c>
      <c r="C222" s="31" t="n">
        <v>2</v>
      </c>
      <c r="D222" s="46" t="n">
        <v>221.1305182341651</v>
      </c>
      <c r="E222" s="46" t="n">
        <v>570.1106822072936</v>
      </c>
      <c r="F222" s="31" t="inlineStr">
        <is>
          <t>train</t>
        </is>
      </c>
      <c r="G222" s="31" t="n">
        <v>521</v>
      </c>
      <c r="H222" s="31" t="inlineStr">
        <is>
          <t>COMPLETED PILOT</t>
        </is>
      </c>
      <c r="I222" s="31" t="n"/>
      <c r="J222" s="31" t="n"/>
      <c r="K222" s="31" t="n"/>
    </row>
    <row r="223" ht="24" customHeight="1">
      <c r="A223" s="31" t="inlineStr">
        <is>
          <t>P024</t>
        </is>
      </c>
      <c r="B223" s="31" t="inlineStr">
        <is>
          <t>TDR</t>
        </is>
      </c>
      <c r="C223" s="31" t="n">
        <v>3</v>
      </c>
      <c r="D223" s="46" t="n">
        <v>218.286</v>
      </c>
      <c r="E223" s="46" t="n">
        <v>558.21064868</v>
      </c>
      <c r="F223" s="31" t="inlineStr">
        <is>
          <t>train</t>
        </is>
      </c>
      <c r="G223" s="31" t="n">
        <v>500</v>
      </c>
      <c r="H223" s="31" t="inlineStr">
        <is>
          <t>COMPLETED PILOT</t>
        </is>
      </c>
      <c r="I223" s="31" t="n"/>
      <c r="J223" s="31" t="n"/>
      <c r="K223" s="31" t="n"/>
    </row>
    <row r="224" ht="24" customHeight="1">
      <c r="A224" s="31" t="inlineStr">
        <is>
          <t>P025</t>
        </is>
      </c>
      <c r="B224" s="31" t="inlineStr">
        <is>
          <t>SP</t>
        </is>
      </c>
      <c r="C224" s="31" t="n">
        <v>1001</v>
      </c>
      <c r="D224" s="46" t="n">
        <v>349.9939393939394</v>
      </c>
      <c r="E224" s="46" t="n">
        <v>962.2072272121212</v>
      </c>
      <c r="F224" s="31" t="inlineStr">
        <is>
          <t>test</t>
        </is>
      </c>
      <c r="G224" s="31" t="n">
        <v>495</v>
      </c>
      <c r="H224" s="31" t="inlineStr">
        <is>
          <t>COMPLETED PILOT</t>
        </is>
      </c>
      <c r="I224" s="31" t="n"/>
      <c r="J224" s="31" t="n"/>
      <c r="K224" s="31" t="n"/>
    </row>
    <row r="225" ht="24" customHeight="1">
      <c r="A225" s="31" t="inlineStr">
        <is>
          <t>P025</t>
        </is>
      </c>
      <c r="B225" s="31" t="inlineStr">
        <is>
          <t>SP</t>
        </is>
      </c>
      <c r="C225" s="31" t="n">
        <v>1002</v>
      </c>
      <c r="D225" s="46" t="n">
        <v>308.9878296146044</v>
      </c>
      <c r="E225" s="46" t="n">
        <v>839.1435659837729</v>
      </c>
      <c r="F225" s="31" t="inlineStr">
        <is>
          <t>test</t>
        </is>
      </c>
      <c r="G225" s="31" t="n">
        <v>493</v>
      </c>
      <c r="H225" s="31" t="inlineStr">
        <is>
          <t>COMPLETED PILOT</t>
        </is>
      </c>
      <c r="I225" s="31" t="n"/>
      <c r="J225" s="31" t="n"/>
      <c r="K225" s="31" t="n"/>
    </row>
    <row r="226" ht="24" customHeight="1">
      <c r="A226" s="31" t="inlineStr">
        <is>
          <t>P025</t>
        </is>
      </c>
      <c r="B226" s="31" t="inlineStr">
        <is>
          <t>SP</t>
        </is>
      </c>
      <c r="C226" s="31" t="n">
        <v>1003</v>
      </c>
      <c r="D226" s="46" t="n">
        <v>380.1900191938579</v>
      </c>
      <c r="E226" s="46" t="n">
        <v>1054.589396564299</v>
      </c>
      <c r="F226" s="31" t="inlineStr">
        <is>
          <t>test</t>
        </is>
      </c>
      <c r="G226" s="31" t="n">
        <v>521</v>
      </c>
      <c r="H226" s="31" t="inlineStr">
        <is>
          <t>COMPLETED PILOT</t>
        </is>
      </c>
      <c r="I226" s="31" t="n"/>
      <c r="J226" s="31" t="n"/>
      <c r="K226" s="31" t="n"/>
    </row>
    <row r="227" ht="24" customHeight="1">
      <c r="A227" s="31" t="inlineStr">
        <is>
          <t>P025</t>
        </is>
      </c>
      <c r="B227" s="31" t="inlineStr">
        <is>
          <t>DTT</t>
        </is>
      </c>
      <c r="C227" s="31" t="n">
        <v>1001</v>
      </c>
      <c r="D227" s="46" t="n">
        <v>220.440404040404</v>
      </c>
      <c r="E227" s="46" t="n">
        <v>555.3230014949495</v>
      </c>
      <c r="F227" s="31" t="inlineStr">
        <is>
          <t>test</t>
        </is>
      </c>
      <c r="G227" s="31" t="n">
        <v>495</v>
      </c>
      <c r="H227" s="31" t="inlineStr">
        <is>
          <t>COMPLETED PILOT</t>
        </is>
      </c>
      <c r="I227" s="31" t="n"/>
      <c r="J227" s="31" t="n"/>
      <c r="K227" s="31" t="n"/>
    </row>
    <row r="228" ht="24" customHeight="1">
      <c r="A228" s="31" t="inlineStr">
        <is>
          <t>P025</t>
        </is>
      </c>
      <c r="B228" s="31" t="inlineStr">
        <is>
          <t>DTT</t>
        </is>
      </c>
      <c r="C228" s="31" t="n">
        <v>1002</v>
      </c>
      <c r="D228" s="46" t="n">
        <v>216.2150101419878</v>
      </c>
      <c r="E228" s="46" t="n">
        <v>548.4672135902637</v>
      </c>
      <c r="F228" s="31" t="inlineStr">
        <is>
          <t>test</t>
        </is>
      </c>
      <c r="G228" s="31" t="n">
        <v>493</v>
      </c>
      <c r="H228" s="31" t="inlineStr">
        <is>
          <t>COMPLETED PILOT</t>
        </is>
      </c>
      <c r="I228" s="31" t="n"/>
      <c r="J228" s="31" t="n"/>
      <c r="K228" s="31" t="n"/>
    </row>
    <row r="229" ht="24" customHeight="1">
      <c r="A229" s="31" t="inlineStr">
        <is>
          <t>P025</t>
        </is>
      </c>
      <c r="B229" s="31" t="inlineStr">
        <is>
          <t>DTT</t>
        </is>
      </c>
      <c r="C229" s="31" t="n">
        <v>1003</v>
      </c>
      <c r="D229" s="46" t="n">
        <v>229.8656429942419</v>
      </c>
      <c r="E229" s="46" t="n">
        <v>584.6440899424184</v>
      </c>
      <c r="F229" s="31" t="inlineStr">
        <is>
          <t>test</t>
        </is>
      </c>
      <c r="G229" s="31" t="n">
        <v>521</v>
      </c>
      <c r="H229" s="31" t="inlineStr">
        <is>
          <t>COMPLETED PILOT</t>
        </is>
      </c>
      <c r="I229" s="31" t="n"/>
      <c r="J229" s="31" t="n"/>
      <c r="K229" s="31" t="n"/>
    </row>
    <row r="230" ht="24" customHeight="1">
      <c r="A230" s="31" t="inlineStr">
        <is>
          <t>P025</t>
        </is>
      </c>
      <c r="B230" s="31" t="inlineStr">
        <is>
          <t>TDR</t>
        </is>
      </c>
      <c r="C230" s="31" t="n">
        <v>1001</v>
      </c>
      <c r="D230" s="46" t="n">
        <v>236.3151515151515</v>
      </c>
      <c r="E230" s="46" t="n">
        <v>596.9768331919192</v>
      </c>
      <c r="F230" s="31" t="inlineStr">
        <is>
          <t>test</t>
        </is>
      </c>
      <c r="G230" s="31" t="n">
        <v>495</v>
      </c>
      <c r="H230" s="31" t="inlineStr">
        <is>
          <t>COMPLETED PILOT</t>
        </is>
      </c>
      <c r="I230" s="31" t="n"/>
      <c r="J230" s="31" t="n"/>
      <c r="K230" s="31" t="n"/>
    </row>
    <row r="231" ht="24" customHeight="1">
      <c r="A231" s="31" t="inlineStr">
        <is>
          <t>P025</t>
        </is>
      </c>
      <c r="B231" s="31" t="inlineStr">
        <is>
          <t>TDR</t>
        </is>
      </c>
      <c r="C231" s="31" t="n">
        <v>1002</v>
      </c>
      <c r="D231" s="46" t="n">
        <v>224.052738336714</v>
      </c>
      <c r="E231" s="46" t="n">
        <v>565.8972386004057</v>
      </c>
      <c r="F231" s="31" t="inlineStr">
        <is>
          <t>test</t>
        </is>
      </c>
      <c r="G231" s="31" t="n">
        <v>493</v>
      </c>
      <c r="H231" s="31" t="inlineStr">
        <is>
          <t>COMPLETED PILOT</t>
        </is>
      </c>
      <c r="I231" s="31" t="n"/>
      <c r="J231" s="31" t="n"/>
      <c r="K231" s="31" t="n"/>
    </row>
    <row r="232" ht="24" customHeight="1">
      <c r="A232" s="31" t="inlineStr">
        <is>
          <t>P025</t>
        </is>
      </c>
      <c r="B232" s="31" t="inlineStr">
        <is>
          <t>TDR</t>
        </is>
      </c>
      <c r="C232" s="31" t="n">
        <v>1003</v>
      </c>
      <c r="D232" s="46" t="n">
        <v>237.2437619961612</v>
      </c>
      <c r="E232" s="46" t="n">
        <v>602.0950484452975</v>
      </c>
      <c r="F232" s="31" t="inlineStr">
        <is>
          <t>test</t>
        </is>
      </c>
      <c r="G232" s="31" t="n">
        <v>521</v>
      </c>
      <c r="H232" s="31" t="inlineStr">
        <is>
          <t>COMPLETED PILOT</t>
        </is>
      </c>
      <c r="I232" s="31" t="n"/>
      <c r="J232" s="31" t="n"/>
      <c r="K232" s="31" t="n"/>
    </row>
    <row r="233" ht="24" customHeight="1">
      <c r="A233" s="31" t="inlineStr">
        <is>
          <t>P026</t>
        </is>
      </c>
      <c r="B233" s="31" t="inlineStr">
        <is>
          <t>SP</t>
        </is>
      </c>
      <c r="C233" s="31" t="n">
        <v>1001</v>
      </c>
      <c r="D233" s="46" t="n">
        <v>284.2888888888889</v>
      </c>
      <c r="E233" s="46" t="n">
        <v>767.219625979798</v>
      </c>
      <c r="F233" s="31" t="inlineStr">
        <is>
          <t>test</t>
        </is>
      </c>
      <c r="G233" s="31" t="n">
        <v>495</v>
      </c>
      <c r="H233" s="31" t="inlineStr">
        <is>
          <t>COMPLETED PILOT</t>
        </is>
      </c>
      <c r="I233" s="31" t="n"/>
      <c r="J233" s="31" t="n"/>
      <c r="K233" s="31" t="n"/>
    </row>
    <row r="234" ht="24" customHeight="1">
      <c r="A234" s="31" t="inlineStr">
        <is>
          <t>P026</t>
        </is>
      </c>
      <c r="B234" s="31" t="inlineStr">
        <is>
          <t>SP</t>
        </is>
      </c>
      <c r="C234" s="31" t="n">
        <v>1002</v>
      </c>
      <c r="D234" s="46" t="n">
        <v>245.6227180527383</v>
      </c>
      <c r="E234" s="46" t="n">
        <v>649.9837045638945</v>
      </c>
      <c r="F234" s="31" t="inlineStr">
        <is>
          <t>test</t>
        </is>
      </c>
      <c r="G234" s="31" t="n">
        <v>493</v>
      </c>
      <c r="H234" s="31" t="inlineStr">
        <is>
          <t>COMPLETED PILOT</t>
        </is>
      </c>
      <c r="I234" s="31" t="n"/>
      <c r="J234" s="31" t="n"/>
      <c r="K234" s="31" t="n"/>
    </row>
    <row r="235" ht="24" customHeight="1">
      <c r="A235" s="31" t="inlineStr">
        <is>
          <t>P026</t>
        </is>
      </c>
      <c r="B235" s="31" t="inlineStr">
        <is>
          <t>SP</t>
        </is>
      </c>
      <c r="C235" s="31" t="n">
        <v>1003</v>
      </c>
      <c r="D235" s="46" t="n">
        <v>308.426103646833</v>
      </c>
      <c r="E235" s="46" t="n">
        <v>844.4928474280231</v>
      </c>
      <c r="F235" s="31" t="inlineStr">
        <is>
          <t>test</t>
        </is>
      </c>
      <c r="G235" s="31" t="n">
        <v>521</v>
      </c>
      <c r="H235" s="31" t="inlineStr">
        <is>
          <t>COMPLETED PILOT</t>
        </is>
      </c>
      <c r="I235" s="31" t="n"/>
      <c r="J235" s="31" t="n"/>
      <c r="K235" s="31" t="n"/>
    </row>
    <row r="236" ht="24" customHeight="1">
      <c r="A236" s="31" t="inlineStr">
        <is>
          <t>P026</t>
        </is>
      </c>
      <c r="B236" s="31" t="inlineStr">
        <is>
          <t>DTT</t>
        </is>
      </c>
      <c r="C236" s="31" t="n">
        <v>1001</v>
      </c>
      <c r="D236" s="46" t="n">
        <v>212.559595959596</v>
      </c>
      <c r="E236" s="46" t="n">
        <v>534.5437926868686</v>
      </c>
      <c r="F236" s="31" t="inlineStr">
        <is>
          <t>test</t>
        </is>
      </c>
      <c r="G236" s="31" t="n">
        <v>495</v>
      </c>
      <c r="H236" s="31" t="inlineStr">
        <is>
          <t>COMPLETED PILOT</t>
        </is>
      </c>
      <c r="I236" s="31" t="n"/>
      <c r="J236" s="31" t="n"/>
      <c r="K236" s="31" t="n"/>
    </row>
    <row r="237" ht="24" customHeight="1">
      <c r="A237" s="31" t="inlineStr">
        <is>
          <t>P026</t>
        </is>
      </c>
      <c r="B237" s="31" t="inlineStr">
        <is>
          <t>DTT</t>
        </is>
      </c>
      <c r="C237" s="31" t="n">
        <v>1002</v>
      </c>
      <c r="D237" s="46" t="n">
        <v>207.1643002028398</v>
      </c>
      <c r="E237" s="46" t="n">
        <v>520.2623235902637</v>
      </c>
      <c r="F237" s="31" t="inlineStr">
        <is>
          <t>test</t>
        </is>
      </c>
      <c r="G237" s="31" t="n">
        <v>493</v>
      </c>
      <c r="H237" s="31" t="inlineStr">
        <is>
          <t>COMPLETED PILOT</t>
        </is>
      </c>
      <c r="I237" s="31" t="n"/>
      <c r="J237" s="31" t="n"/>
      <c r="K237" s="31" t="n"/>
    </row>
    <row r="238" ht="24" customHeight="1">
      <c r="A238" s="31" t="inlineStr">
        <is>
          <t>P026</t>
        </is>
      </c>
      <c r="B238" s="31" t="inlineStr">
        <is>
          <t>DTT</t>
        </is>
      </c>
      <c r="C238" s="31" t="n">
        <v>1003</v>
      </c>
      <c r="D238" s="46" t="n">
        <v>224.0882917466411</v>
      </c>
      <c r="E238" s="46" t="n">
        <v>569.35153487524</v>
      </c>
      <c r="F238" s="31" t="inlineStr">
        <is>
          <t>test</t>
        </is>
      </c>
      <c r="G238" s="31" t="n">
        <v>521</v>
      </c>
      <c r="H238" s="31" t="inlineStr">
        <is>
          <t>COMPLETED PILOT</t>
        </is>
      </c>
      <c r="I238" s="31" t="n"/>
      <c r="J238" s="31" t="n"/>
      <c r="K238" s="31" t="n"/>
    </row>
    <row r="239" ht="24" customHeight="1">
      <c r="A239" s="31" t="inlineStr">
        <is>
          <t>P026</t>
        </is>
      </c>
      <c r="B239" s="31" t="inlineStr">
        <is>
          <t>TDR</t>
        </is>
      </c>
      <c r="C239" s="31" t="n">
        <v>1001</v>
      </c>
      <c r="D239" s="46" t="n">
        <v>227.5959595959596</v>
      </c>
      <c r="E239" s="46" t="n">
        <v>580.747636929293</v>
      </c>
      <c r="F239" s="31" t="inlineStr">
        <is>
          <t>test</t>
        </is>
      </c>
      <c r="G239" s="31" t="n">
        <v>495</v>
      </c>
      <c r="H239" s="31" t="inlineStr">
        <is>
          <t>COMPLETED PILOT</t>
        </is>
      </c>
      <c r="I239" s="31" t="n"/>
      <c r="J239" s="31" t="n"/>
      <c r="K239" s="31" t="n"/>
    </row>
    <row r="240" ht="24" customHeight="1">
      <c r="A240" s="31" t="inlineStr">
        <is>
          <t>P026</t>
        </is>
      </c>
      <c r="B240" s="31" t="inlineStr">
        <is>
          <t>TDR</t>
        </is>
      </c>
      <c r="C240" s="31" t="n">
        <v>1002</v>
      </c>
      <c r="D240" s="46" t="n">
        <v>218.4300202839757</v>
      </c>
      <c r="E240" s="46" t="n">
        <v>554.5870414807302</v>
      </c>
      <c r="F240" s="31" t="inlineStr">
        <is>
          <t>test</t>
        </is>
      </c>
      <c r="G240" s="31" t="n">
        <v>493</v>
      </c>
      <c r="H240" s="31" t="inlineStr">
        <is>
          <t>COMPLETED PILOT</t>
        </is>
      </c>
      <c r="I240" s="31" t="n"/>
      <c r="J240" s="31" t="n"/>
      <c r="K240" s="31" t="n"/>
    </row>
    <row r="241" ht="24" customHeight="1">
      <c r="A241" s="31" t="inlineStr">
        <is>
          <t>P026</t>
        </is>
      </c>
      <c r="B241" s="31" t="inlineStr">
        <is>
          <t>TDR</t>
        </is>
      </c>
      <c r="C241" s="31" t="n">
        <v>1003</v>
      </c>
      <c r="D241" s="46" t="n">
        <v>226.573896353167</v>
      </c>
      <c r="E241" s="46" t="n">
        <v>576.0340885220729</v>
      </c>
      <c r="F241" s="31" t="inlineStr">
        <is>
          <t>test</t>
        </is>
      </c>
      <c r="G241" s="31" t="n">
        <v>521</v>
      </c>
      <c r="H241" s="31" t="inlineStr">
        <is>
          <t>COMPLETED PILOT</t>
        </is>
      </c>
      <c r="I241" s="31" t="n"/>
      <c r="J241" s="31" t="n"/>
      <c r="K241" s="31" t="n"/>
    </row>
    <row r="242" ht="24" customHeight="1">
      <c r="A242" s="31" t="inlineStr">
        <is>
          <t>P027</t>
        </is>
      </c>
      <c r="B242" s="31" t="inlineStr">
        <is>
          <t>SP</t>
        </is>
      </c>
      <c r="C242" s="31" t="n">
        <v>1001</v>
      </c>
      <c r="D242" s="46" t="n">
        <v>253.7878787878788</v>
      </c>
      <c r="E242" s="46" t="n">
        <v>677.8426355353536</v>
      </c>
      <c r="F242" s="31" t="inlineStr">
        <is>
          <t>test</t>
        </is>
      </c>
      <c r="G242" s="31" t="n">
        <v>495</v>
      </c>
      <c r="H242" s="31" t="inlineStr">
        <is>
          <t>COMPLETED PILOT</t>
        </is>
      </c>
      <c r="I242" s="31" t="n"/>
      <c r="J242" s="31" t="n"/>
      <c r="K242" s="31" t="n"/>
    </row>
    <row r="243" ht="24" customHeight="1">
      <c r="A243" s="31" t="inlineStr">
        <is>
          <t>P027</t>
        </is>
      </c>
      <c r="B243" s="31" t="inlineStr">
        <is>
          <t>SP</t>
        </is>
      </c>
      <c r="C243" s="31" t="n">
        <v>1002</v>
      </c>
      <c r="D243" s="46" t="n">
        <v>229.6024340770791</v>
      </c>
      <c r="E243" s="46" t="n">
        <v>603.3060615212981</v>
      </c>
      <c r="F243" s="31" t="inlineStr">
        <is>
          <t>test</t>
        </is>
      </c>
      <c r="G243" s="31" t="n">
        <v>493</v>
      </c>
      <c r="H243" s="31" t="inlineStr">
        <is>
          <t>COMPLETED PILOT</t>
        </is>
      </c>
      <c r="I243" s="31" t="n"/>
      <c r="J243" s="31" t="n"/>
      <c r="K243" s="31" t="n"/>
    </row>
    <row r="244" ht="24" customHeight="1">
      <c r="A244" s="31" t="inlineStr">
        <is>
          <t>P027</t>
        </is>
      </c>
      <c r="B244" s="31" t="inlineStr">
        <is>
          <t>SP</t>
        </is>
      </c>
      <c r="C244" s="31" t="n">
        <v>1003</v>
      </c>
      <c r="D244" s="46" t="n">
        <v>277.6218809980806</v>
      </c>
      <c r="E244" s="46" t="n">
        <v>755.8663027447217</v>
      </c>
      <c r="F244" s="31" t="inlineStr">
        <is>
          <t>test</t>
        </is>
      </c>
      <c r="G244" s="31" t="n">
        <v>521</v>
      </c>
      <c r="H244" s="31" t="inlineStr">
        <is>
          <t>COMPLETED PILOT</t>
        </is>
      </c>
      <c r="I244" s="31" t="n"/>
      <c r="J244" s="31" t="n"/>
      <c r="K244" s="31" t="n"/>
    </row>
    <row r="245" ht="24" customHeight="1">
      <c r="A245" s="31" t="inlineStr">
        <is>
          <t>P027</t>
        </is>
      </c>
      <c r="B245" s="31" t="inlineStr">
        <is>
          <t>DTT</t>
        </is>
      </c>
      <c r="C245" s="31" t="n">
        <v>1001</v>
      </c>
      <c r="D245" s="46" t="n">
        <v>214.2464646464647</v>
      </c>
      <c r="E245" s="46" t="n">
        <v>543.496731939394</v>
      </c>
      <c r="F245" s="31" t="inlineStr">
        <is>
          <t>test</t>
        </is>
      </c>
      <c r="G245" s="31" t="n">
        <v>495</v>
      </c>
      <c r="H245" s="31" t="inlineStr">
        <is>
          <t>COMPLETED PILOT</t>
        </is>
      </c>
      <c r="I245" s="31" t="n"/>
      <c r="J245" s="31" t="n"/>
      <c r="K245" s="31" t="n"/>
    </row>
    <row r="246" ht="24" customHeight="1">
      <c r="A246" s="31" t="inlineStr">
        <is>
          <t>P027</t>
        </is>
      </c>
      <c r="B246" s="31" t="inlineStr">
        <is>
          <t>DTT</t>
        </is>
      </c>
      <c r="C246" s="31" t="n">
        <v>1002</v>
      </c>
      <c r="D246" s="46" t="n">
        <v>207.1683569979716</v>
      </c>
      <c r="E246" s="46" t="n">
        <v>520.6124787829615</v>
      </c>
      <c r="F246" s="31" t="inlineStr">
        <is>
          <t>test</t>
        </is>
      </c>
      <c r="G246" s="31" t="n">
        <v>493</v>
      </c>
      <c r="H246" s="31" t="inlineStr">
        <is>
          <t>COMPLETED PILOT</t>
        </is>
      </c>
      <c r="I246" s="31" t="n"/>
      <c r="J246" s="31" t="n"/>
      <c r="K246" s="31" t="n"/>
    </row>
    <row r="247" ht="24" customHeight="1">
      <c r="A247" s="31" t="inlineStr">
        <is>
          <t>P027</t>
        </is>
      </c>
      <c r="B247" s="31" t="inlineStr">
        <is>
          <t>DTT</t>
        </is>
      </c>
      <c r="C247" s="31" t="n">
        <v>1003</v>
      </c>
      <c r="D247" s="46" t="n">
        <v>222.489443378119</v>
      </c>
      <c r="E247" s="46" t="n">
        <v>566.4369238963532</v>
      </c>
      <c r="F247" s="31" t="inlineStr">
        <is>
          <t>test</t>
        </is>
      </c>
      <c r="G247" s="31" t="n">
        <v>521</v>
      </c>
      <c r="H247" s="31" t="inlineStr">
        <is>
          <t>COMPLETED PILOT</t>
        </is>
      </c>
      <c r="I247" s="31" t="n"/>
      <c r="J247" s="31" t="n"/>
      <c r="K247" s="31" t="n"/>
    </row>
    <row r="248" ht="24" customHeight="1">
      <c r="A248" s="31" t="inlineStr">
        <is>
          <t>P027</t>
        </is>
      </c>
      <c r="B248" s="31" t="inlineStr">
        <is>
          <t>TDR</t>
        </is>
      </c>
      <c r="C248" s="31" t="n">
        <v>1001</v>
      </c>
      <c r="D248" s="46" t="n">
        <v>224.1515151515152</v>
      </c>
      <c r="E248" s="46" t="n">
        <v>574.5325979393939</v>
      </c>
      <c r="F248" s="31" t="inlineStr">
        <is>
          <t>test</t>
        </is>
      </c>
      <c r="G248" s="31" t="n">
        <v>495</v>
      </c>
      <c r="H248" s="31" t="inlineStr">
        <is>
          <t>COMPLETED PILOT</t>
        </is>
      </c>
      <c r="I248" s="31" t="n"/>
      <c r="J248" s="31" t="n"/>
      <c r="K248" s="31" t="n"/>
    </row>
    <row r="249" ht="24" customHeight="1">
      <c r="A249" s="31" t="inlineStr">
        <is>
          <t>P027</t>
        </is>
      </c>
      <c r="B249" s="31" t="inlineStr">
        <is>
          <t>TDR</t>
        </is>
      </c>
      <c r="C249" s="31" t="n">
        <v>1002</v>
      </c>
      <c r="D249" s="46" t="n">
        <v>215.2515212981745</v>
      </c>
      <c r="E249" s="46" t="n">
        <v>548.6642548073022</v>
      </c>
      <c r="F249" s="31" t="inlineStr">
        <is>
          <t>test</t>
        </is>
      </c>
      <c r="G249" s="31" t="n">
        <v>493</v>
      </c>
      <c r="H249" s="31" t="inlineStr">
        <is>
          <t>COMPLETED PILOT</t>
        </is>
      </c>
      <c r="I249" s="31" t="n"/>
      <c r="J249" s="31" t="n"/>
      <c r="K249" s="31" t="n"/>
    </row>
    <row r="250" ht="24" customHeight="1">
      <c r="A250" s="31" t="inlineStr">
        <is>
          <t>P027</t>
        </is>
      </c>
      <c r="B250" s="31" t="inlineStr">
        <is>
          <t>TDR</t>
        </is>
      </c>
      <c r="C250" s="31" t="n">
        <v>1003</v>
      </c>
      <c r="D250" s="46" t="n">
        <v>223.1516314779271</v>
      </c>
      <c r="E250" s="46" t="n">
        <v>571.0189839347408</v>
      </c>
      <c r="F250" s="31" t="inlineStr">
        <is>
          <t>test</t>
        </is>
      </c>
      <c r="G250" s="31" t="n">
        <v>521</v>
      </c>
      <c r="H250" s="31" t="inlineStr">
        <is>
          <t>COMPLETED PILOT</t>
        </is>
      </c>
      <c r="I250" s="31" t="n"/>
      <c r="J250" s="31" t="n"/>
      <c r="K250" s="31" t="n"/>
    </row>
    <row r="251" ht="24" customHeight="1">
      <c r="A251" s="31" t="inlineStr">
        <is>
          <t>P028</t>
        </is>
      </c>
      <c r="B251" s="31" t="inlineStr">
        <is>
          <t>SP</t>
        </is>
      </c>
      <c r="C251" s="31" t="n">
        <v>1</v>
      </c>
      <c r="D251" s="46" t="n">
        <v>510.6496598639456</v>
      </c>
      <c r="E251" s="46" t="n">
        <v>1418.126563333333</v>
      </c>
      <c r="F251" s="31" t="inlineStr">
        <is>
          <t>train</t>
        </is>
      </c>
      <c r="G251" s="31" t="n">
        <v>588</v>
      </c>
      <c r="H251" s="31" t="inlineStr">
        <is>
          <t>COMPLETED PILOT</t>
        </is>
      </c>
      <c r="I251" s="31" t="n"/>
      <c r="J251" s="31" t="n"/>
      <c r="K251" s="31" t="n"/>
    </row>
    <row r="252" ht="24" customHeight="1">
      <c r="A252" s="31" t="inlineStr">
        <is>
          <t>P028</t>
        </is>
      </c>
      <c r="B252" s="31" t="inlineStr">
        <is>
          <t>SP</t>
        </is>
      </c>
      <c r="C252" s="31" t="n">
        <v>2</v>
      </c>
      <c r="D252" s="46" t="n">
        <v>448.2374581939799</v>
      </c>
      <c r="E252" s="46" t="n">
        <v>1266.986565719063</v>
      </c>
      <c r="F252" s="31" t="inlineStr">
        <is>
          <t>train</t>
        </is>
      </c>
      <c r="G252" s="31" t="n">
        <v>598</v>
      </c>
      <c r="H252" s="31" t="inlineStr">
        <is>
          <t>COMPLETED PILOT</t>
        </is>
      </c>
      <c r="I252" s="31" t="n"/>
      <c r="J252" s="31" t="n"/>
      <c r="K252" s="31" t="n"/>
    </row>
    <row r="253" ht="24" customHeight="1">
      <c r="A253" s="31" t="inlineStr">
        <is>
          <t>P028</t>
        </is>
      </c>
      <c r="B253" s="31" t="inlineStr">
        <is>
          <t>SP</t>
        </is>
      </c>
      <c r="C253" s="31" t="n">
        <v>3</v>
      </c>
      <c r="D253" s="46" t="n">
        <v>431.8642857142857</v>
      </c>
      <c r="E253" s="46" t="n">
        <v>1214.537408517857</v>
      </c>
      <c r="F253" s="31" t="inlineStr">
        <is>
          <t>train</t>
        </is>
      </c>
      <c r="G253" s="31" t="n">
        <v>560</v>
      </c>
      <c r="H253" s="31" t="inlineStr">
        <is>
          <t>COMPLETED PILOT</t>
        </is>
      </c>
      <c r="I253" s="31" t="n"/>
      <c r="J253" s="31" t="n"/>
      <c r="K253" s="31" t="n"/>
    </row>
    <row r="254" ht="24" customHeight="1">
      <c r="A254" s="31" t="inlineStr">
        <is>
          <t>P028</t>
        </is>
      </c>
      <c r="B254" s="31" t="inlineStr">
        <is>
          <t>DTT</t>
        </is>
      </c>
      <c r="C254" s="31" t="n">
        <v>1</v>
      </c>
      <c r="D254" s="46" t="n">
        <v>265.3979591836735</v>
      </c>
      <c r="E254" s="46" t="n">
        <v>677.7896181632653</v>
      </c>
      <c r="F254" s="31" t="inlineStr">
        <is>
          <t>train</t>
        </is>
      </c>
      <c r="G254" s="31" t="n">
        <v>588</v>
      </c>
      <c r="H254" s="31" t="inlineStr">
        <is>
          <t>COMPLETED PILOT</t>
        </is>
      </c>
      <c r="I254" s="31" t="n"/>
      <c r="J254" s="31" t="n"/>
      <c r="K254" s="31" t="n"/>
    </row>
    <row r="255" ht="24" customHeight="1">
      <c r="A255" s="31" t="inlineStr">
        <is>
          <t>P028</t>
        </is>
      </c>
      <c r="B255" s="31" t="inlineStr">
        <is>
          <t>DTT</t>
        </is>
      </c>
      <c r="C255" s="31" t="n">
        <v>2</v>
      </c>
      <c r="D255" s="46" t="n">
        <v>243.180602006689</v>
      </c>
      <c r="E255" s="46" t="n">
        <v>624.0723697324414</v>
      </c>
      <c r="F255" s="31" t="inlineStr">
        <is>
          <t>train</t>
        </is>
      </c>
      <c r="G255" s="31" t="n">
        <v>598</v>
      </c>
      <c r="H255" s="31" t="inlineStr">
        <is>
          <t>COMPLETED PILOT</t>
        </is>
      </c>
      <c r="I255" s="31" t="n"/>
      <c r="J255" s="31" t="n"/>
      <c r="K255" s="31" t="n"/>
    </row>
    <row r="256" ht="24" customHeight="1">
      <c r="A256" s="31" t="inlineStr">
        <is>
          <t>P028</t>
        </is>
      </c>
      <c r="B256" s="31" t="inlineStr">
        <is>
          <t>DTT</t>
        </is>
      </c>
      <c r="C256" s="31" t="n">
        <v>3</v>
      </c>
      <c r="D256" s="46" t="n">
        <v>244.3696428571428</v>
      </c>
      <c r="E256" s="46" t="n">
        <v>624.1285814107143</v>
      </c>
      <c r="F256" s="31" t="inlineStr">
        <is>
          <t>train</t>
        </is>
      </c>
      <c r="G256" s="31" t="n">
        <v>560</v>
      </c>
      <c r="H256" s="31" t="inlineStr">
        <is>
          <t>COMPLETED PILOT</t>
        </is>
      </c>
      <c r="I256" s="31" t="n"/>
      <c r="J256" s="31" t="n"/>
      <c r="K256" s="31" t="n"/>
    </row>
    <row r="257" ht="24" customHeight="1">
      <c r="A257" s="31" t="inlineStr">
        <is>
          <t>P028</t>
        </is>
      </c>
      <c r="B257" s="31" t="inlineStr">
        <is>
          <t>TDR</t>
        </is>
      </c>
      <c r="C257" s="31" t="n">
        <v>1</v>
      </c>
      <c r="D257" s="46" t="n">
        <v>276.7142857142857</v>
      </c>
      <c r="E257" s="46" t="n">
        <v>712.2401552721088</v>
      </c>
      <c r="F257" s="31" t="inlineStr">
        <is>
          <t>train</t>
        </is>
      </c>
      <c r="G257" s="31" t="n">
        <v>588</v>
      </c>
      <c r="H257" s="31" t="inlineStr">
        <is>
          <t>COMPLETED PILOT</t>
        </is>
      </c>
      <c r="I257" s="31" t="n"/>
      <c r="J257" s="31" t="n"/>
      <c r="K257" s="31" t="n"/>
    </row>
    <row r="258" ht="24" customHeight="1">
      <c r="A258" s="31" t="inlineStr">
        <is>
          <t>P028</t>
        </is>
      </c>
      <c r="B258" s="31" t="inlineStr">
        <is>
          <t>TDR</t>
        </is>
      </c>
      <c r="C258" s="31" t="n">
        <v>2</v>
      </c>
      <c r="D258" s="46" t="n">
        <v>252.623745819398</v>
      </c>
      <c r="E258" s="46" t="n">
        <v>643.8759734448161</v>
      </c>
      <c r="F258" s="31" t="inlineStr">
        <is>
          <t>train</t>
        </is>
      </c>
      <c r="G258" s="31" t="n">
        <v>598</v>
      </c>
      <c r="H258" s="31" t="inlineStr">
        <is>
          <t>COMPLETED PILOT</t>
        </is>
      </c>
      <c r="I258" s="31" t="n"/>
      <c r="J258" s="31" t="n"/>
      <c r="K258" s="31" t="n"/>
    </row>
    <row r="259" ht="24" customHeight="1">
      <c r="A259" s="31" t="inlineStr">
        <is>
          <t>P028</t>
        </is>
      </c>
      <c r="B259" s="31" t="inlineStr">
        <is>
          <t>TDR</t>
        </is>
      </c>
      <c r="C259" s="31" t="n">
        <v>3</v>
      </c>
      <c r="D259" s="46" t="n">
        <v>253.2214285714286</v>
      </c>
      <c r="E259" s="46" t="n">
        <v>647.8807915357143</v>
      </c>
      <c r="F259" s="31" t="inlineStr">
        <is>
          <t>train</t>
        </is>
      </c>
      <c r="G259" s="31" t="n">
        <v>560</v>
      </c>
      <c r="H259" s="31" t="inlineStr">
        <is>
          <t>COMPLETED PILOT</t>
        </is>
      </c>
      <c r="I259" s="31" t="n"/>
      <c r="J259" s="31" t="n"/>
      <c r="K259" s="31" t="n"/>
    </row>
    <row r="260" ht="24" customHeight="1">
      <c r="A260" s="31" t="inlineStr">
        <is>
          <t>P029</t>
        </is>
      </c>
      <c r="B260" s="31" t="inlineStr">
        <is>
          <t>SP</t>
        </is>
      </c>
      <c r="C260" s="31" t="n">
        <v>1</v>
      </c>
      <c r="D260" s="46" t="n">
        <v>435.1122448979592</v>
      </c>
      <c r="E260" s="46" t="n">
        <v>1236.464844183673</v>
      </c>
      <c r="F260" s="31" t="inlineStr">
        <is>
          <t>train</t>
        </is>
      </c>
      <c r="G260" s="31" t="n">
        <v>588</v>
      </c>
      <c r="H260" s="31" t="inlineStr">
        <is>
          <t>COMPLETED PILOT</t>
        </is>
      </c>
      <c r="I260" s="31" t="n"/>
      <c r="J260" s="31" t="n"/>
      <c r="K260" s="31" t="n"/>
    </row>
    <row r="261" ht="24" customHeight="1">
      <c r="A261" s="31" t="inlineStr">
        <is>
          <t>P029</t>
        </is>
      </c>
      <c r="B261" s="31" t="inlineStr">
        <is>
          <t>SP</t>
        </is>
      </c>
      <c r="C261" s="31" t="n">
        <v>2</v>
      </c>
      <c r="D261" s="46" t="n">
        <v>379.8244147157191</v>
      </c>
      <c r="E261" s="46" t="n">
        <v>1069.659909983278</v>
      </c>
      <c r="F261" s="31" t="inlineStr">
        <is>
          <t>train</t>
        </is>
      </c>
      <c r="G261" s="31" t="n">
        <v>598</v>
      </c>
      <c r="H261" s="31" t="inlineStr">
        <is>
          <t>COMPLETED PILOT</t>
        </is>
      </c>
      <c r="I261" s="31" t="n"/>
      <c r="J261" s="31" t="n"/>
      <c r="K261" s="31" t="n"/>
    </row>
    <row r="262" ht="24" customHeight="1">
      <c r="A262" s="31" t="inlineStr">
        <is>
          <t>P029</t>
        </is>
      </c>
      <c r="B262" s="31" t="inlineStr">
        <is>
          <t>SP</t>
        </is>
      </c>
      <c r="C262" s="31" t="n">
        <v>3</v>
      </c>
      <c r="D262" s="46" t="n">
        <v>366.2303571428571</v>
      </c>
      <c r="E262" s="46" t="n">
        <v>1025.940054607143</v>
      </c>
      <c r="F262" s="31" t="inlineStr">
        <is>
          <t>train</t>
        </is>
      </c>
      <c r="G262" s="31" t="n">
        <v>560</v>
      </c>
      <c r="H262" s="31" t="inlineStr">
        <is>
          <t>COMPLETED PILOT</t>
        </is>
      </c>
      <c r="I262" s="31" t="n"/>
      <c r="J262" s="31" t="n"/>
      <c r="K262" s="31" t="n"/>
    </row>
    <row r="263" ht="24" customHeight="1">
      <c r="A263" s="31" t="inlineStr">
        <is>
          <t>P029</t>
        </is>
      </c>
      <c r="B263" s="31" t="inlineStr">
        <is>
          <t>DTT</t>
        </is>
      </c>
      <c r="C263" s="31" t="n">
        <v>1</v>
      </c>
      <c r="D263" s="46" t="n">
        <v>247.9880952380952</v>
      </c>
      <c r="E263" s="46" t="n">
        <v>636.7893005782313</v>
      </c>
      <c r="F263" s="31" t="inlineStr">
        <is>
          <t>train</t>
        </is>
      </c>
      <c r="G263" s="31" t="n">
        <v>588</v>
      </c>
      <c r="H263" s="31" t="inlineStr">
        <is>
          <t>COMPLETED PILOT</t>
        </is>
      </c>
      <c r="I263" s="31" t="n"/>
      <c r="J263" s="31" t="n"/>
      <c r="K263" s="31" t="n"/>
    </row>
    <row r="264" ht="24" customHeight="1">
      <c r="A264" s="31" t="inlineStr">
        <is>
          <t>P029</t>
        </is>
      </c>
      <c r="B264" s="31" t="inlineStr">
        <is>
          <t>DTT</t>
        </is>
      </c>
      <c r="C264" s="31" t="n">
        <v>2</v>
      </c>
      <c r="D264" s="46" t="n">
        <v>242.2792642140468</v>
      </c>
      <c r="E264" s="46" t="n">
        <v>623.2888115217391</v>
      </c>
      <c r="F264" s="31" t="inlineStr">
        <is>
          <t>train</t>
        </is>
      </c>
      <c r="G264" s="31" t="n">
        <v>598</v>
      </c>
      <c r="H264" s="31" t="inlineStr">
        <is>
          <t>COMPLETED PILOT</t>
        </is>
      </c>
      <c r="I264" s="31" t="n"/>
      <c r="J264" s="31" t="n"/>
      <c r="K264" s="31" t="n"/>
    </row>
    <row r="265" ht="24" customHeight="1">
      <c r="A265" s="31" t="inlineStr">
        <is>
          <t>P029</t>
        </is>
      </c>
      <c r="B265" s="31" t="inlineStr">
        <is>
          <t>DTT</t>
        </is>
      </c>
      <c r="C265" s="31" t="n">
        <v>3</v>
      </c>
      <c r="D265" s="46" t="n">
        <v>241.6178571428571</v>
      </c>
      <c r="E265" s="46" t="n">
        <v>622.1857132142857</v>
      </c>
      <c r="F265" s="31" t="inlineStr">
        <is>
          <t>train</t>
        </is>
      </c>
      <c r="G265" s="31" t="n">
        <v>560</v>
      </c>
      <c r="H265" s="31" t="inlineStr">
        <is>
          <t>COMPLETED PILOT</t>
        </is>
      </c>
      <c r="I265" s="31" t="n"/>
      <c r="J265" s="31" t="n"/>
      <c r="K265" s="31" t="n"/>
    </row>
    <row r="266" ht="24" customHeight="1">
      <c r="A266" s="31" t="inlineStr">
        <is>
          <t>P029</t>
        </is>
      </c>
      <c r="B266" s="31" t="inlineStr">
        <is>
          <t>TDR</t>
        </is>
      </c>
      <c r="C266" s="31" t="n">
        <v>1</v>
      </c>
      <c r="D266" s="46" t="n">
        <v>263.889455782313</v>
      </c>
      <c r="E266" s="46" t="n">
        <v>678.6168691666667</v>
      </c>
      <c r="F266" s="31" t="inlineStr">
        <is>
          <t>train</t>
        </is>
      </c>
      <c r="G266" s="31" t="n">
        <v>588</v>
      </c>
      <c r="H266" s="31" t="inlineStr">
        <is>
          <t>COMPLETED PILOT</t>
        </is>
      </c>
      <c r="I266" s="31" t="n"/>
      <c r="J266" s="31" t="n"/>
      <c r="K266" s="31" t="n"/>
    </row>
    <row r="267" ht="24" customHeight="1">
      <c r="A267" s="31" t="inlineStr">
        <is>
          <t>P029</t>
        </is>
      </c>
      <c r="B267" s="31" t="inlineStr">
        <is>
          <t>TDR</t>
        </is>
      </c>
      <c r="C267" s="31" t="n">
        <v>2</v>
      </c>
      <c r="D267" s="46" t="n">
        <v>245.9113712374582</v>
      </c>
      <c r="E267" s="46" t="n">
        <v>632.8770821404682</v>
      </c>
      <c r="F267" s="31" t="inlineStr">
        <is>
          <t>train</t>
        </is>
      </c>
      <c r="G267" s="31" t="n">
        <v>598</v>
      </c>
      <c r="H267" s="31" t="inlineStr">
        <is>
          <t>COMPLETED PILOT</t>
        </is>
      </c>
      <c r="I267" s="31" t="n"/>
      <c r="J267" s="31" t="n"/>
      <c r="K267" s="31" t="n"/>
    </row>
    <row r="268" ht="24" customHeight="1">
      <c r="A268" s="31" t="inlineStr">
        <is>
          <t>P029</t>
        </is>
      </c>
      <c r="B268" s="31" t="inlineStr">
        <is>
          <t>TDR</t>
        </is>
      </c>
      <c r="C268" s="31" t="n">
        <v>3</v>
      </c>
      <c r="D268" s="46" t="n">
        <v>250.1035714285714</v>
      </c>
      <c r="E268" s="46" t="n">
        <v>644.1539941250001</v>
      </c>
      <c r="F268" s="31" t="inlineStr">
        <is>
          <t>train</t>
        </is>
      </c>
      <c r="G268" s="31" t="n">
        <v>560</v>
      </c>
      <c r="H268" s="31" t="inlineStr">
        <is>
          <t>COMPLETED PILOT</t>
        </is>
      </c>
      <c r="I268" s="31" t="n"/>
      <c r="J268" s="31" t="n"/>
      <c r="K268" s="31" t="n"/>
    </row>
    <row r="269" ht="24" customHeight="1">
      <c r="A269" s="31" t="inlineStr">
        <is>
          <t>P030</t>
        </is>
      </c>
      <c r="B269" s="31" t="inlineStr">
        <is>
          <t>SP</t>
        </is>
      </c>
      <c r="C269" s="31" t="n">
        <v>1</v>
      </c>
      <c r="D269" s="46" t="n">
        <v>400.8639455782313</v>
      </c>
      <c r="E269" s="46" t="n">
        <v>1146.020802363946</v>
      </c>
      <c r="F269" s="31" t="inlineStr">
        <is>
          <t>train</t>
        </is>
      </c>
      <c r="G269" s="31" t="n">
        <v>588</v>
      </c>
      <c r="H269" s="31" t="inlineStr">
        <is>
          <t>COMPLETED PILOT</t>
        </is>
      </c>
      <c r="I269" s="31" t="n"/>
      <c r="J269" s="31" t="n"/>
      <c r="K269" s="31" t="n"/>
    </row>
    <row r="270" ht="24" customHeight="1">
      <c r="A270" s="31" t="inlineStr">
        <is>
          <t>P030</t>
        </is>
      </c>
      <c r="B270" s="31" t="inlineStr">
        <is>
          <t>SP</t>
        </is>
      </c>
      <c r="C270" s="31" t="n">
        <v>2</v>
      </c>
      <c r="D270" s="46" t="n">
        <v>347.5535117056856</v>
      </c>
      <c r="E270" s="46" t="n">
        <v>980.8390877257525</v>
      </c>
      <c r="F270" s="31" t="inlineStr">
        <is>
          <t>train</t>
        </is>
      </c>
      <c r="G270" s="31" t="n">
        <v>598</v>
      </c>
      <c r="H270" s="31" t="inlineStr">
        <is>
          <t>COMPLETED PILOT</t>
        </is>
      </c>
      <c r="I270" s="31" t="n"/>
      <c r="J270" s="31" t="n"/>
      <c r="K270" s="31" t="n"/>
    </row>
    <row r="271" ht="24" customHeight="1">
      <c r="A271" s="31" t="inlineStr">
        <is>
          <t>P030</t>
        </is>
      </c>
      <c r="B271" s="31" t="inlineStr">
        <is>
          <t>SP</t>
        </is>
      </c>
      <c r="C271" s="31" t="n">
        <v>3</v>
      </c>
      <c r="D271" s="46" t="n">
        <v>339.1071428571428</v>
      </c>
      <c r="E271" s="46" t="n">
        <v>952.9548011785714</v>
      </c>
      <c r="F271" s="31" t="inlineStr">
        <is>
          <t>train</t>
        </is>
      </c>
      <c r="G271" s="31" t="n">
        <v>560</v>
      </c>
      <c r="H271" s="31" t="inlineStr">
        <is>
          <t>COMPLETED PILOT</t>
        </is>
      </c>
      <c r="I271" s="31" t="n"/>
      <c r="J271" s="31" t="n"/>
      <c r="K271" s="31" t="n"/>
    </row>
    <row r="272" ht="24" customHeight="1">
      <c r="A272" s="31" t="inlineStr">
        <is>
          <t>P030</t>
        </is>
      </c>
      <c r="B272" s="31" t="inlineStr">
        <is>
          <t>DTT</t>
        </is>
      </c>
      <c r="C272" s="31" t="n">
        <v>1</v>
      </c>
      <c r="D272" s="46" t="n">
        <v>234.6666666666667</v>
      </c>
      <c r="E272" s="46" t="n">
        <v>596.4097588435375</v>
      </c>
      <c r="F272" s="31" t="inlineStr">
        <is>
          <t>train</t>
        </is>
      </c>
      <c r="G272" s="31" t="n">
        <v>588</v>
      </c>
      <c r="H272" s="31" t="inlineStr">
        <is>
          <t>COMPLETED PILOT</t>
        </is>
      </c>
      <c r="I272" s="31" t="n"/>
      <c r="J272" s="31" t="n"/>
      <c r="K272" s="31" t="n"/>
    </row>
    <row r="273" ht="24" customHeight="1">
      <c r="A273" s="31" t="inlineStr">
        <is>
          <t>P030</t>
        </is>
      </c>
      <c r="B273" s="31" t="inlineStr">
        <is>
          <t>DTT</t>
        </is>
      </c>
      <c r="C273" s="31" t="n">
        <v>2</v>
      </c>
      <c r="D273" s="46" t="n">
        <v>241.3026755852843</v>
      </c>
      <c r="E273" s="46" t="n">
        <v>620.75917</v>
      </c>
      <c r="F273" s="31" t="inlineStr">
        <is>
          <t>train</t>
        </is>
      </c>
      <c r="G273" s="31" t="n">
        <v>598</v>
      </c>
      <c r="H273" s="31" t="inlineStr">
        <is>
          <t>COMPLETED PILOT</t>
        </is>
      </c>
      <c r="I273" s="31" t="n"/>
      <c r="J273" s="31" t="n"/>
      <c r="K273" s="31" t="n"/>
    </row>
    <row r="274" ht="24" customHeight="1">
      <c r="A274" s="31" t="inlineStr">
        <is>
          <t>P030</t>
        </is>
      </c>
      <c r="B274" s="31" t="inlineStr">
        <is>
          <t>DTT</t>
        </is>
      </c>
      <c r="C274" s="31" t="n">
        <v>3</v>
      </c>
      <c r="D274" s="46" t="n">
        <v>238.3607142857143</v>
      </c>
      <c r="E274" s="46" t="n">
        <v>613.3600425357142</v>
      </c>
      <c r="F274" s="31" t="inlineStr">
        <is>
          <t>train</t>
        </is>
      </c>
      <c r="G274" s="31" t="n">
        <v>560</v>
      </c>
      <c r="H274" s="31" t="inlineStr">
        <is>
          <t>COMPLETED PILOT</t>
        </is>
      </c>
      <c r="I274" s="31" t="n"/>
      <c r="J274" s="31" t="n"/>
      <c r="K274" s="31" t="n"/>
    </row>
    <row r="275" ht="24" customHeight="1">
      <c r="A275" s="31" t="inlineStr">
        <is>
          <t>P030</t>
        </is>
      </c>
      <c r="B275" s="31" t="inlineStr">
        <is>
          <t>TDR</t>
        </is>
      </c>
      <c r="C275" s="31" t="n">
        <v>1</v>
      </c>
      <c r="D275" s="46" t="n">
        <v>261.0408163265306</v>
      </c>
      <c r="E275" s="46" t="n">
        <v>675.2140098809524</v>
      </c>
      <c r="F275" s="31" t="inlineStr">
        <is>
          <t>train</t>
        </is>
      </c>
      <c r="G275" s="31" t="n">
        <v>588</v>
      </c>
      <c r="H275" s="31" t="inlineStr">
        <is>
          <t>COMPLETED PILOT</t>
        </is>
      </c>
      <c r="I275" s="31" t="n"/>
      <c r="J275" s="31" t="n"/>
      <c r="K275" s="31" t="n"/>
    </row>
    <row r="276" ht="24" customHeight="1">
      <c r="A276" s="31" t="inlineStr">
        <is>
          <t>P030</t>
        </is>
      </c>
      <c r="B276" s="31" t="inlineStr">
        <is>
          <t>TDR</t>
        </is>
      </c>
      <c r="C276" s="31" t="n">
        <v>2</v>
      </c>
      <c r="D276" s="46" t="n">
        <v>245.4548494983277</v>
      </c>
      <c r="E276" s="46" t="n">
        <v>637.1149224080267</v>
      </c>
      <c r="F276" s="31" t="inlineStr">
        <is>
          <t>train</t>
        </is>
      </c>
      <c r="G276" s="31" t="n">
        <v>598</v>
      </c>
      <c r="H276" s="31" t="inlineStr">
        <is>
          <t>COMPLETED PILOT</t>
        </is>
      </c>
      <c r="I276" s="31" t="n"/>
      <c r="J276" s="31" t="n"/>
      <c r="K276" s="31" t="n"/>
    </row>
    <row r="277" ht="24" customHeight="1">
      <c r="A277" s="31" t="inlineStr">
        <is>
          <t>P030</t>
        </is>
      </c>
      <c r="B277" s="31" t="inlineStr">
        <is>
          <t>TDR</t>
        </is>
      </c>
      <c r="C277" s="31" t="n">
        <v>3</v>
      </c>
      <c r="D277" s="46" t="n">
        <v>244.1053571428571</v>
      </c>
      <c r="E277" s="46" t="n">
        <v>633.7738205535715</v>
      </c>
      <c r="F277" s="31" t="inlineStr">
        <is>
          <t>train</t>
        </is>
      </c>
      <c r="G277" s="31" t="n">
        <v>560</v>
      </c>
      <c r="H277" s="31" t="inlineStr">
        <is>
          <t>COMPLETED PILOT</t>
        </is>
      </c>
      <c r="I277" s="31" t="n"/>
      <c r="J277" s="31" t="n"/>
      <c r="K277" s="31" t="n"/>
    </row>
    <row r="278" ht="24" customHeight="1">
      <c r="A278" s="31" t="n"/>
      <c r="B278" s="31" t="n"/>
      <c r="C278" s="31" t="n"/>
      <c r="D278" s="31" t="n"/>
      <c r="E278" s="31" t="n"/>
      <c r="F278" s="31" t="n"/>
      <c r="G278" s="31" t="n"/>
      <c r="H278" s="31" t="n"/>
      <c r="I278" s="31" t="n"/>
      <c r="J278" s="31" t="n"/>
      <c r="K278" s="31" t="n"/>
    </row>
    <row r="279" ht="24" customHeight="1">
      <c r="A279" s="31" t="n"/>
      <c r="B279" s="31" t="n"/>
      <c r="C279" s="31" t="n"/>
      <c r="D279" s="31" t="n"/>
      <c r="E279" s="31" t="n"/>
      <c r="F279" s="31" t="n"/>
      <c r="G279" s="31" t="n"/>
      <c r="H279" s="31" t="n"/>
      <c r="I279" s="31" t="n"/>
      <c r="J279" s="31" t="n"/>
      <c r="K279" s="31" t="n"/>
    </row>
    <row r="280" ht="24" customHeight="1">
      <c r="A280" s="31" t="n"/>
      <c r="B280" s="31" t="n"/>
      <c r="C280" s="31" t="n"/>
      <c r="D280" s="31" t="n"/>
      <c r="E280" s="31" t="n"/>
      <c r="F280" s="31" t="n"/>
      <c r="G280" s="31" t="n"/>
      <c r="H280" s="31" t="n"/>
      <c r="I280" s="31" t="n"/>
      <c r="J280" s="31" t="n"/>
      <c r="K280" s="31" t="n"/>
    </row>
    <row r="281" ht="38" customHeight="1">
      <c r="A281" s="7" t="inlineStr">
        <is>
          <t>Context</t>
        </is>
      </c>
      <c r="B281" s="7" t="inlineStr">
        <is>
          <t>Policy</t>
        </is>
      </c>
      <c r="C281" s="7" t="inlineStr">
        <is>
          <t>Mean time (s)</t>
        </is>
      </c>
      <c r="D281" s="7" t="inlineStr">
        <is>
          <t>Mean CO2 (g)</t>
        </is>
      </c>
      <c r="E281" s="7" t="inlineStr">
        <is>
          <t>Original additive cost</t>
        </is>
      </c>
      <c r="F281" s="7" t="inlineStr">
        <is>
          <t>Context oracle</t>
        </is>
      </c>
      <c r="G281" s="7" t="inlineStr">
        <is>
          <t>Regret</t>
        </is>
      </c>
      <c r="H281" s="31" t="n"/>
      <c r="I281" s="31" t="n"/>
      <c r="J281" s="31" t="n"/>
      <c r="K281" s="31" t="n"/>
    </row>
    <row r="282" ht="24" customHeight="1">
      <c r="A282" s="31" t="inlineStr">
        <is>
          <t>P001</t>
        </is>
      </c>
      <c r="B282" s="31" t="inlineStr">
        <is>
          <t>SP</t>
        </is>
      </c>
      <c r="C282" s="36">
        <f>AVERAGE(D8:D10)</f>
        <v/>
      </c>
      <c r="D282" s="36">
        <f>AVERAGE(E8:E10)</f>
        <v/>
      </c>
      <c r="E282" s="36">
        <f>0.5*C282/$B$376+0.5*D282/$B$377</f>
        <v/>
      </c>
      <c r="F282" s="36">
        <f>MIN(E282:E284)</f>
        <v/>
      </c>
      <c r="G282" s="36">
        <f>E282-F282</f>
        <v/>
      </c>
      <c r="H282" s="31" t="n"/>
      <c r="I282" s="31" t="n"/>
      <c r="J282" s="31" t="n"/>
      <c r="K282" s="31" t="n"/>
    </row>
    <row r="283" ht="24" customHeight="1">
      <c r="A283" s="31" t="inlineStr">
        <is>
          <t>P001</t>
        </is>
      </c>
      <c r="B283" s="31" t="inlineStr">
        <is>
          <t>DTT</t>
        </is>
      </c>
      <c r="C283" s="36">
        <f>AVERAGE(D11:D13)</f>
        <v/>
      </c>
      <c r="D283" s="36">
        <f>AVERAGE(E11:E13)</f>
        <v/>
      </c>
      <c r="E283" s="36">
        <f>0.5*C283/$B$376+0.5*D283/$B$377</f>
        <v/>
      </c>
      <c r="F283" s="36">
        <f>MIN(E282:E284)</f>
        <v/>
      </c>
      <c r="G283" s="36">
        <f>E283-F283</f>
        <v/>
      </c>
      <c r="H283" s="31" t="n"/>
      <c r="I283" s="31" t="n"/>
      <c r="J283" s="31" t="n"/>
      <c r="K283" s="31" t="n"/>
    </row>
    <row r="284" ht="24" customHeight="1">
      <c r="A284" s="31" t="inlineStr">
        <is>
          <t>P001</t>
        </is>
      </c>
      <c r="B284" s="31" t="inlineStr">
        <is>
          <t>TDR</t>
        </is>
      </c>
      <c r="C284" s="36">
        <f>AVERAGE(D14:D16)</f>
        <v/>
      </c>
      <c r="D284" s="36">
        <f>AVERAGE(E14:E16)</f>
        <v/>
      </c>
      <c r="E284" s="36">
        <f>0.5*C284/$B$376+0.5*D284/$B$377</f>
        <v/>
      </c>
      <c r="F284" s="36">
        <f>MIN(E282:E284)</f>
        <v/>
      </c>
      <c r="G284" s="36">
        <f>E284-F284</f>
        <v/>
      </c>
      <c r="H284" s="31" t="n"/>
      <c r="I284" s="31" t="n"/>
      <c r="J284" s="31" t="n"/>
      <c r="K284" s="31" t="n"/>
    </row>
    <row r="285" ht="24" customHeight="1">
      <c r="A285" s="31" t="inlineStr">
        <is>
          <t>P002</t>
        </is>
      </c>
      <c r="B285" s="31" t="inlineStr">
        <is>
          <t>SP</t>
        </is>
      </c>
      <c r="C285" s="36">
        <f>AVERAGE(D17:D19)</f>
        <v/>
      </c>
      <c r="D285" s="36">
        <f>AVERAGE(E17:E19)</f>
        <v/>
      </c>
      <c r="E285" s="36">
        <f>0.5*C285/$B$376+0.5*D285/$B$377</f>
        <v/>
      </c>
      <c r="F285" s="36">
        <f>MIN(E285:E287)</f>
        <v/>
      </c>
      <c r="G285" s="36">
        <f>E285-F285</f>
        <v/>
      </c>
      <c r="H285" s="31" t="n"/>
      <c r="I285" s="31" t="n"/>
      <c r="J285" s="31" t="n"/>
      <c r="K285" s="31" t="n"/>
    </row>
    <row r="286" ht="24" customHeight="1">
      <c r="A286" s="31" t="inlineStr">
        <is>
          <t>P002</t>
        </is>
      </c>
      <c r="B286" s="31" t="inlineStr">
        <is>
          <t>DTT</t>
        </is>
      </c>
      <c r="C286" s="36">
        <f>AVERAGE(D20:D22)</f>
        <v/>
      </c>
      <c r="D286" s="36">
        <f>AVERAGE(E20:E22)</f>
        <v/>
      </c>
      <c r="E286" s="36">
        <f>0.5*C286/$B$376+0.5*D286/$B$377</f>
        <v/>
      </c>
      <c r="F286" s="36">
        <f>MIN(E285:E287)</f>
        <v/>
      </c>
      <c r="G286" s="36">
        <f>E286-F286</f>
        <v/>
      </c>
      <c r="H286" s="31" t="n"/>
      <c r="I286" s="31" t="n"/>
      <c r="J286" s="31" t="n"/>
      <c r="K286" s="31" t="n"/>
    </row>
    <row r="287" ht="24" customHeight="1">
      <c r="A287" s="31" t="inlineStr">
        <is>
          <t>P002</t>
        </is>
      </c>
      <c r="B287" s="31" t="inlineStr">
        <is>
          <t>TDR</t>
        </is>
      </c>
      <c r="C287" s="36">
        <f>AVERAGE(D23:D25)</f>
        <v/>
      </c>
      <c r="D287" s="36">
        <f>AVERAGE(E23:E25)</f>
        <v/>
      </c>
      <c r="E287" s="36">
        <f>0.5*C287/$B$376+0.5*D287/$B$377</f>
        <v/>
      </c>
      <c r="F287" s="36">
        <f>MIN(E285:E287)</f>
        <v/>
      </c>
      <c r="G287" s="36">
        <f>E287-F287</f>
        <v/>
      </c>
      <c r="H287" s="31" t="n"/>
      <c r="I287" s="31" t="n"/>
      <c r="J287" s="31" t="n"/>
      <c r="K287" s="31" t="n"/>
    </row>
    <row r="288" ht="24" customHeight="1">
      <c r="A288" s="31" t="inlineStr">
        <is>
          <t>P003</t>
        </is>
      </c>
      <c r="B288" s="31" t="inlineStr">
        <is>
          <t>SP</t>
        </is>
      </c>
      <c r="C288" s="36">
        <f>AVERAGE(D26:D28)</f>
        <v/>
      </c>
      <c r="D288" s="36">
        <f>AVERAGE(E26:E28)</f>
        <v/>
      </c>
      <c r="E288" s="36">
        <f>0.5*C288/$B$376+0.5*D288/$B$377</f>
        <v/>
      </c>
      <c r="F288" s="36">
        <f>MIN(E288:E290)</f>
        <v/>
      </c>
      <c r="G288" s="36">
        <f>E288-F288</f>
        <v/>
      </c>
      <c r="H288" s="31" t="n"/>
      <c r="I288" s="31" t="n"/>
      <c r="J288" s="31" t="n"/>
      <c r="K288" s="31" t="n"/>
    </row>
    <row r="289" ht="24" customHeight="1">
      <c r="A289" s="31" t="inlineStr">
        <is>
          <t>P003</t>
        </is>
      </c>
      <c r="B289" s="31" t="inlineStr">
        <is>
          <t>DTT</t>
        </is>
      </c>
      <c r="C289" s="36">
        <f>AVERAGE(D29:D31)</f>
        <v/>
      </c>
      <c r="D289" s="36">
        <f>AVERAGE(E29:E31)</f>
        <v/>
      </c>
      <c r="E289" s="36">
        <f>0.5*C289/$B$376+0.5*D289/$B$377</f>
        <v/>
      </c>
      <c r="F289" s="36">
        <f>MIN(E288:E290)</f>
        <v/>
      </c>
      <c r="G289" s="36">
        <f>E289-F289</f>
        <v/>
      </c>
      <c r="H289" s="31" t="n"/>
      <c r="I289" s="31" t="n"/>
      <c r="J289" s="31" t="n"/>
      <c r="K289" s="31" t="n"/>
    </row>
    <row r="290" ht="24" customHeight="1">
      <c r="A290" s="31" t="inlineStr">
        <is>
          <t>P003</t>
        </is>
      </c>
      <c r="B290" s="31" t="inlineStr">
        <is>
          <t>TDR</t>
        </is>
      </c>
      <c r="C290" s="36">
        <f>AVERAGE(D32:D34)</f>
        <v/>
      </c>
      <c r="D290" s="36">
        <f>AVERAGE(E32:E34)</f>
        <v/>
      </c>
      <c r="E290" s="36">
        <f>0.5*C290/$B$376+0.5*D290/$B$377</f>
        <v/>
      </c>
      <c r="F290" s="36">
        <f>MIN(E288:E290)</f>
        <v/>
      </c>
      <c r="G290" s="36">
        <f>E290-F290</f>
        <v/>
      </c>
      <c r="H290" s="31" t="n"/>
      <c r="I290" s="31" t="n"/>
      <c r="J290" s="31" t="n"/>
      <c r="K290" s="31" t="n"/>
    </row>
    <row r="291" ht="24" customHeight="1">
      <c r="A291" s="31" t="inlineStr">
        <is>
          <t>P004</t>
        </is>
      </c>
      <c r="B291" s="31" t="inlineStr">
        <is>
          <t>SP</t>
        </is>
      </c>
      <c r="C291" s="36">
        <f>AVERAGE(D35:D37)</f>
        <v/>
      </c>
      <c r="D291" s="36">
        <f>AVERAGE(E35:E37)</f>
        <v/>
      </c>
      <c r="E291" s="36">
        <f>0.5*C291/$B$376+0.5*D291/$B$377</f>
        <v/>
      </c>
      <c r="F291" s="36">
        <f>MIN(E291:E293)</f>
        <v/>
      </c>
      <c r="G291" s="36">
        <f>E291-F291</f>
        <v/>
      </c>
      <c r="H291" s="31" t="n"/>
      <c r="I291" s="31" t="n"/>
      <c r="J291" s="31" t="n"/>
      <c r="K291" s="31" t="n"/>
    </row>
    <row r="292" ht="24" customHeight="1">
      <c r="A292" s="31" t="inlineStr">
        <is>
          <t>P004</t>
        </is>
      </c>
      <c r="B292" s="31" t="inlineStr">
        <is>
          <t>DTT</t>
        </is>
      </c>
      <c r="C292" s="36">
        <f>AVERAGE(D38:D40)</f>
        <v/>
      </c>
      <c r="D292" s="36">
        <f>AVERAGE(E38:E40)</f>
        <v/>
      </c>
      <c r="E292" s="36">
        <f>0.5*C292/$B$376+0.5*D292/$B$377</f>
        <v/>
      </c>
      <c r="F292" s="36">
        <f>MIN(E291:E293)</f>
        <v/>
      </c>
      <c r="G292" s="36">
        <f>E292-F292</f>
        <v/>
      </c>
      <c r="H292" s="31" t="n"/>
      <c r="I292" s="31" t="n"/>
      <c r="J292" s="31" t="n"/>
      <c r="K292" s="31" t="n"/>
    </row>
    <row r="293" ht="24" customHeight="1">
      <c r="A293" s="31" t="inlineStr">
        <is>
          <t>P004</t>
        </is>
      </c>
      <c r="B293" s="31" t="inlineStr">
        <is>
          <t>TDR</t>
        </is>
      </c>
      <c r="C293" s="36">
        <f>AVERAGE(D41:D43)</f>
        <v/>
      </c>
      <c r="D293" s="36">
        <f>AVERAGE(E41:E43)</f>
        <v/>
      </c>
      <c r="E293" s="36">
        <f>0.5*C293/$B$376+0.5*D293/$B$377</f>
        <v/>
      </c>
      <c r="F293" s="36">
        <f>MIN(E291:E293)</f>
        <v/>
      </c>
      <c r="G293" s="36">
        <f>E293-F293</f>
        <v/>
      </c>
      <c r="H293" s="31" t="n"/>
      <c r="I293" s="31" t="n"/>
      <c r="J293" s="31" t="n"/>
      <c r="K293" s="31" t="n"/>
    </row>
    <row r="294" ht="24" customHeight="1">
      <c r="A294" s="31" t="inlineStr">
        <is>
          <t>P005</t>
        </is>
      </c>
      <c r="B294" s="31" t="inlineStr">
        <is>
          <t>SP</t>
        </is>
      </c>
      <c r="C294" s="36">
        <f>AVERAGE(D44:D46)</f>
        <v/>
      </c>
      <c r="D294" s="36">
        <f>AVERAGE(E44:E46)</f>
        <v/>
      </c>
      <c r="E294" s="36">
        <f>0.5*C294/$B$376+0.5*D294/$B$377</f>
        <v/>
      </c>
      <c r="F294" s="36">
        <f>MIN(E294:E296)</f>
        <v/>
      </c>
      <c r="G294" s="36">
        <f>E294-F294</f>
        <v/>
      </c>
      <c r="H294" s="31" t="n"/>
      <c r="I294" s="31" t="n"/>
      <c r="J294" s="31" t="n"/>
      <c r="K294" s="31" t="n"/>
    </row>
    <row r="295" ht="24" customHeight="1">
      <c r="A295" s="31" t="inlineStr">
        <is>
          <t>P005</t>
        </is>
      </c>
      <c r="B295" s="31" t="inlineStr">
        <is>
          <t>DTT</t>
        </is>
      </c>
      <c r="C295" s="36">
        <f>AVERAGE(D47:D49)</f>
        <v/>
      </c>
      <c r="D295" s="36">
        <f>AVERAGE(E47:E49)</f>
        <v/>
      </c>
      <c r="E295" s="36">
        <f>0.5*C295/$B$376+0.5*D295/$B$377</f>
        <v/>
      </c>
      <c r="F295" s="36">
        <f>MIN(E294:E296)</f>
        <v/>
      </c>
      <c r="G295" s="36">
        <f>E295-F295</f>
        <v/>
      </c>
      <c r="H295" s="31" t="n"/>
      <c r="I295" s="31" t="n"/>
      <c r="J295" s="31" t="n"/>
      <c r="K295" s="31" t="n"/>
    </row>
    <row r="296" ht="24" customHeight="1">
      <c r="A296" s="31" t="inlineStr">
        <is>
          <t>P005</t>
        </is>
      </c>
      <c r="B296" s="31" t="inlineStr">
        <is>
          <t>TDR</t>
        </is>
      </c>
      <c r="C296" s="36">
        <f>AVERAGE(D50:D52)</f>
        <v/>
      </c>
      <c r="D296" s="36">
        <f>AVERAGE(E50:E52)</f>
        <v/>
      </c>
      <c r="E296" s="36">
        <f>0.5*C296/$B$376+0.5*D296/$B$377</f>
        <v/>
      </c>
      <c r="F296" s="36">
        <f>MIN(E294:E296)</f>
        <v/>
      </c>
      <c r="G296" s="36">
        <f>E296-F296</f>
        <v/>
      </c>
      <c r="H296" s="31" t="n"/>
      <c r="I296" s="31" t="n"/>
      <c r="J296" s="31" t="n"/>
      <c r="K296" s="31" t="n"/>
    </row>
    <row r="297" ht="24" customHeight="1">
      <c r="A297" s="31" t="inlineStr">
        <is>
          <t>P006</t>
        </is>
      </c>
      <c r="B297" s="31" t="inlineStr">
        <is>
          <t>SP</t>
        </is>
      </c>
      <c r="C297" s="36">
        <f>AVERAGE(D53:D55)</f>
        <v/>
      </c>
      <c r="D297" s="36">
        <f>AVERAGE(E53:E55)</f>
        <v/>
      </c>
      <c r="E297" s="36">
        <f>0.5*C297/$B$376+0.5*D297/$B$377</f>
        <v/>
      </c>
      <c r="F297" s="36">
        <f>MIN(E297:E299)</f>
        <v/>
      </c>
      <c r="G297" s="36">
        <f>E297-F297</f>
        <v/>
      </c>
      <c r="H297" s="31" t="n"/>
      <c r="I297" s="31" t="n"/>
      <c r="J297" s="31" t="n"/>
      <c r="K297" s="31" t="n"/>
    </row>
    <row r="298" ht="24" customHeight="1">
      <c r="A298" s="31" t="inlineStr">
        <is>
          <t>P006</t>
        </is>
      </c>
      <c r="B298" s="31" t="inlineStr">
        <is>
          <t>DTT</t>
        </is>
      </c>
      <c r="C298" s="36">
        <f>AVERAGE(D56:D58)</f>
        <v/>
      </c>
      <c r="D298" s="36">
        <f>AVERAGE(E56:E58)</f>
        <v/>
      </c>
      <c r="E298" s="36">
        <f>0.5*C298/$B$376+0.5*D298/$B$377</f>
        <v/>
      </c>
      <c r="F298" s="36">
        <f>MIN(E297:E299)</f>
        <v/>
      </c>
      <c r="G298" s="36">
        <f>E298-F298</f>
        <v/>
      </c>
      <c r="H298" s="31" t="n"/>
      <c r="I298" s="31" t="n"/>
      <c r="J298" s="31" t="n"/>
      <c r="K298" s="31" t="n"/>
    </row>
    <row r="299" ht="24" customHeight="1">
      <c r="A299" s="31" t="inlineStr">
        <is>
          <t>P006</t>
        </is>
      </c>
      <c r="B299" s="31" t="inlineStr">
        <is>
          <t>TDR</t>
        </is>
      </c>
      <c r="C299" s="36">
        <f>AVERAGE(D59:D61)</f>
        <v/>
      </c>
      <c r="D299" s="36">
        <f>AVERAGE(E59:E61)</f>
        <v/>
      </c>
      <c r="E299" s="36">
        <f>0.5*C299/$B$376+0.5*D299/$B$377</f>
        <v/>
      </c>
      <c r="F299" s="36">
        <f>MIN(E297:E299)</f>
        <v/>
      </c>
      <c r="G299" s="36">
        <f>E299-F299</f>
        <v/>
      </c>
      <c r="H299" s="31" t="n"/>
      <c r="I299" s="31" t="n"/>
      <c r="J299" s="31" t="n"/>
      <c r="K299" s="31" t="n"/>
    </row>
    <row r="300" ht="24" customHeight="1">
      <c r="A300" s="31" t="inlineStr">
        <is>
          <t>P007</t>
        </is>
      </c>
      <c r="B300" s="31" t="inlineStr">
        <is>
          <t>SP</t>
        </is>
      </c>
      <c r="C300" s="36">
        <f>AVERAGE(D62:D64)</f>
        <v/>
      </c>
      <c r="D300" s="36">
        <f>AVERAGE(E62:E64)</f>
        <v/>
      </c>
      <c r="E300" s="36">
        <f>0.5*C300/$B$376+0.5*D300/$B$377</f>
        <v/>
      </c>
      <c r="F300" s="36">
        <f>MIN(E300:E302)</f>
        <v/>
      </c>
      <c r="G300" s="36">
        <f>E300-F300</f>
        <v/>
      </c>
      <c r="H300" s="31" t="n"/>
      <c r="I300" s="31" t="n"/>
      <c r="J300" s="31" t="n"/>
      <c r="K300" s="31" t="n"/>
    </row>
    <row r="301" ht="24" customHeight="1">
      <c r="A301" s="31" t="inlineStr">
        <is>
          <t>P007</t>
        </is>
      </c>
      <c r="B301" s="31" t="inlineStr">
        <is>
          <t>DTT</t>
        </is>
      </c>
      <c r="C301" s="36">
        <f>AVERAGE(D65:D67)</f>
        <v/>
      </c>
      <c r="D301" s="36">
        <f>AVERAGE(E65:E67)</f>
        <v/>
      </c>
      <c r="E301" s="36">
        <f>0.5*C301/$B$376+0.5*D301/$B$377</f>
        <v/>
      </c>
      <c r="F301" s="36">
        <f>MIN(E300:E302)</f>
        <v/>
      </c>
      <c r="G301" s="36">
        <f>E301-F301</f>
        <v/>
      </c>
      <c r="H301" s="31" t="n"/>
      <c r="I301" s="31" t="n"/>
      <c r="J301" s="31" t="n"/>
      <c r="K301" s="31" t="n"/>
    </row>
    <row r="302" ht="24" customHeight="1">
      <c r="A302" s="31" t="inlineStr">
        <is>
          <t>P007</t>
        </is>
      </c>
      <c r="B302" s="31" t="inlineStr">
        <is>
          <t>TDR</t>
        </is>
      </c>
      <c r="C302" s="36">
        <f>AVERAGE(D68:D70)</f>
        <v/>
      </c>
      <c r="D302" s="36">
        <f>AVERAGE(E68:E70)</f>
        <v/>
      </c>
      <c r="E302" s="36">
        <f>0.5*C302/$B$376+0.5*D302/$B$377</f>
        <v/>
      </c>
      <c r="F302" s="36">
        <f>MIN(E300:E302)</f>
        <v/>
      </c>
      <c r="G302" s="36">
        <f>E302-F302</f>
        <v/>
      </c>
      <c r="H302" s="31" t="n"/>
      <c r="I302" s="31" t="n"/>
      <c r="J302" s="31" t="n"/>
      <c r="K302" s="31" t="n"/>
    </row>
    <row r="303" ht="24" customHeight="1">
      <c r="A303" s="31" t="inlineStr">
        <is>
          <t>P008</t>
        </is>
      </c>
      <c r="B303" s="31" t="inlineStr">
        <is>
          <t>SP</t>
        </is>
      </c>
      <c r="C303" s="36">
        <f>AVERAGE(D71:D73)</f>
        <v/>
      </c>
      <c r="D303" s="36">
        <f>AVERAGE(E71:E73)</f>
        <v/>
      </c>
      <c r="E303" s="36">
        <f>0.5*C303/$B$376+0.5*D303/$B$377</f>
        <v/>
      </c>
      <c r="F303" s="36">
        <f>MIN(E303:E305)</f>
        <v/>
      </c>
      <c r="G303" s="36">
        <f>E303-F303</f>
        <v/>
      </c>
      <c r="H303" s="31" t="n"/>
      <c r="I303" s="31" t="n"/>
      <c r="J303" s="31" t="n"/>
      <c r="K303" s="31" t="n"/>
    </row>
    <row r="304" ht="24" customHeight="1">
      <c r="A304" s="31" t="inlineStr">
        <is>
          <t>P008</t>
        </is>
      </c>
      <c r="B304" s="31" t="inlineStr">
        <is>
          <t>DTT</t>
        </is>
      </c>
      <c r="C304" s="36">
        <f>AVERAGE(D74:D76)</f>
        <v/>
      </c>
      <c r="D304" s="36">
        <f>AVERAGE(E74:E76)</f>
        <v/>
      </c>
      <c r="E304" s="36">
        <f>0.5*C304/$B$376+0.5*D304/$B$377</f>
        <v/>
      </c>
      <c r="F304" s="36">
        <f>MIN(E303:E305)</f>
        <v/>
      </c>
      <c r="G304" s="36">
        <f>E304-F304</f>
        <v/>
      </c>
      <c r="H304" s="31" t="n"/>
      <c r="I304" s="31" t="n"/>
      <c r="J304" s="31" t="n"/>
      <c r="K304" s="31" t="n"/>
    </row>
    <row r="305" ht="24" customHeight="1">
      <c r="A305" s="31" t="inlineStr">
        <is>
          <t>P008</t>
        </is>
      </c>
      <c r="B305" s="31" t="inlineStr">
        <is>
          <t>TDR</t>
        </is>
      </c>
      <c r="C305" s="36">
        <f>AVERAGE(D77:D79)</f>
        <v/>
      </c>
      <c r="D305" s="36">
        <f>AVERAGE(E77:E79)</f>
        <v/>
      </c>
      <c r="E305" s="36">
        <f>0.5*C305/$B$376+0.5*D305/$B$377</f>
        <v/>
      </c>
      <c r="F305" s="36">
        <f>MIN(E303:E305)</f>
        <v/>
      </c>
      <c r="G305" s="36">
        <f>E305-F305</f>
        <v/>
      </c>
      <c r="H305" s="31" t="n"/>
      <c r="I305" s="31" t="n"/>
      <c r="J305" s="31" t="n"/>
      <c r="K305" s="31" t="n"/>
    </row>
    <row r="306" ht="24" customHeight="1">
      <c r="A306" s="31" t="inlineStr">
        <is>
          <t>P009</t>
        </is>
      </c>
      <c r="B306" s="31" t="inlineStr">
        <is>
          <t>SP</t>
        </is>
      </c>
      <c r="C306" s="36">
        <f>AVERAGE(D80:D82)</f>
        <v/>
      </c>
      <c r="D306" s="36">
        <f>AVERAGE(E80:E82)</f>
        <v/>
      </c>
      <c r="E306" s="36">
        <f>0.5*C306/$B$376+0.5*D306/$B$377</f>
        <v/>
      </c>
      <c r="F306" s="36">
        <f>MIN(E306:E308)</f>
        <v/>
      </c>
      <c r="G306" s="36">
        <f>E306-F306</f>
        <v/>
      </c>
      <c r="H306" s="31" t="n"/>
      <c r="I306" s="31" t="n"/>
      <c r="J306" s="31" t="n"/>
      <c r="K306" s="31" t="n"/>
    </row>
    <row r="307" ht="24" customHeight="1">
      <c r="A307" s="31" t="inlineStr">
        <is>
          <t>P009</t>
        </is>
      </c>
      <c r="B307" s="31" t="inlineStr">
        <is>
          <t>DTT</t>
        </is>
      </c>
      <c r="C307" s="36">
        <f>AVERAGE(D83:D85)</f>
        <v/>
      </c>
      <c r="D307" s="36">
        <f>AVERAGE(E83:E85)</f>
        <v/>
      </c>
      <c r="E307" s="36">
        <f>0.5*C307/$B$376+0.5*D307/$B$377</f>
        <v/>
      </c>
      <c r="F307" s="36">
        <f>MIN(E306:E308)</f>
        <v/>
      </c>
      <c r="G307" s="36">
        <f>E307-F307</f>
        <v/>
      </c>
      <c r="H307" s="31" t="n"/>
      <c r="I307" s="31" t="n"/>
      <c r="J307" s="31" t="n"/>
      <c r="K307" s="31" t="n"/>
    </row>
    <row r="308" ht="24" customHeight="1">
      <c r="A308" s="31" t="inlineStr">
        <is>
          <t>P009</t>
        </is>
      </c>
      <c r="B308" s="31" t="inlineStr">
        <is>
          <t>TDR</t>
        </is>
      </c>
      <c r="C308" s="36">
        <f>AVERAGE(D86:D88)</f>
        <v/>
      </c>
      <c r="D308" s="36">
        <f>AVERAGE(E86:E88)</f>
        <v/>
      </c>
      <c r="E308" s="36">
        <f>0.5*C308/$B$376+0.5*D308/$B$377</f>
        <v/>
      </c>
      <c r="F308" s="36">
        <f>MIN(E306:E308)</f>
        <v/>
      </c>
      <c r="G308" s="36">
        <f>E308-F308</f>
        <v/>
      </c>
      <c r="H308" s="31" t="n"/>
      <c r="I308" s="31" t="n"/>
      <c r="J308" s="31" t="n"/>
      <c r="K308" s="31" t="n"/>
    </row>
    <row r="309" ht="24" customHeight="1">
      <c r="A309" s="31" t="inlineStr">
        <is>
          <t>P010</t>
        </is>
      </c>
      <c r="B309" s="31" t="inlineStr">
        <is>
          <t>SP</t>
        </is>
      </c>
      <c r="C309" s="36">
        <f>AVERAGE(D89:D91)</f>
        <v/>
      </c>
      <c r="D309" s="36">
        <f>AVERAGE(E89:E91)</f>
        <v/>
      </c>
      <c r="E309" s="36">
        <f>0.5*C309/$B$376+0.5*D309/$B$377</f>
        <v/>
      </c>
      <c r="F309" s="36">
        <f>MIN(E309:E311)</f>
        <v/>
      </c>
      <c r="G309" s="36">
        <f>E309-F309</f>
        <v/>
      </c>
      <c r="H309" s="31" t="n"/>
      <c r="I309" s="31" t="n"/>
      <c r="J309" s="31" t="n"/>
      <c r="K309" s="31" t="n"/>
    </row>
    <row r="310" ht="24" customHeight="1">
      <c r="A310" s="31" t="inlineStr">
        <is>
          <t>P010</t>
        </is>
      </c>
      <c r="B310" s="31" t="inlineStr">
        <is>
          <t>DTT</t>
        </is>
      </c>
      <c r="C310" s="36">
        <f>AVERAGE(D92:D94)</f>
        <v/>
      </c>
      <c r="D310" s="36">
        <f>AVERAGE(E92:E94)</f>
        <v/>
      </c>
      <c r="E310" s="36">
        <f>0.5*C310/$B$376+0.5*D310/$B$377</f>
        <v/>
      </c>
      <c r="F310" s="36">
        <f>MIN(E309:E311)</f>
        <v/>
      </c>
      <c r="G310" s="36">
        <f>E310-F310</f>
        <v/>
      </c>
      <c r="H310" s="31" t="n"/>
      <c r="I310" s="31" t="n"/>
      <c r="J310" s="31" t="n"/>
      <c r="K310" s="31" t="n"/>
    </row>
    <row r="311" ht="24" customHeight="1">
      <c r="A311" s="31" t="inlineStr">
        <is>
          <t>P010</t>
        </is>
      </c>
      <c r="B311" s="31" t="inlineStr">
        <is>
          <t>TDR</t>
        </is>
      </c>
      <c r="C311" s="36">
        <f>AVERAGE(D95:D97)</f>
        <v/>
      </c>
      <c r="D311" s="36">
        <f>AVERAGE(E95:E97)</f>
        <v/>
      </c>
      <c r="E311" s="36">
        <f>0.5*C311/$B$376+0.5*D311/$B$377</f>
        <v/>
      </c>
      <c r="F311" s="36">
        <f>MIN(E309:E311)</f>
        <v/>
      </c>
      <c r="G311" s="36">
        <f>E311-F311</f>
        <v/>
      </c>
      <c r="H311" s="31" t="n"/>
      <c r="I311" s="31" t="n"/>
      <c r="J311" s="31" t="n"/>
      <c r="K311" s="31" t="n"/>
    </row>
    <row r="312" ht="24" customHeight="1">
      <c r="A312" s="31" t="inlineStr">
        <is>
          <t>P011</t>
        </is>
      </c>
      <c r="B312" s="31" t="inlineStr">
        <is>
          <t>SP</t>
        </is>
      </c>
      <c r="C312" s="36">
        <f>AVERAGE(D98:D100)</f>
        <v/>
      </c>
      <c r="D312" s="36">
        <f>AVERAGE(E98:E100)</f>
        <v/>
      </c>
      <c r="E312" s="36">
        <f>0.5*C312/$B$376+0.5*D312/$B$377</f>
        <v/>
      </c>
      <c r="F312" s="36">
        <f>MIN(E312:E314)</f>
        <v/>
      </c>
      <c r="G312" s="36">
        <f>E312-F312</f>
        <v/>
      </c>
      <c r="H312" s="31" t="n"/>
      <c r="I312" s="31" t="n"/>
      <c r="J312" s="31" t="n"/>
      <c r="K312" s="31" t="n"/>
    </row>
    <row r="313" ht="24" customHeight="1">
      <c r="A313" s="31" t="inlineStr">
        <is>
          <t>P011</t>
        </is>
      </c>
      <c r="B313" s="31" t="inlineStr">
        <is>
          <t>DTT</t>
        </is>
      </c>
      <c r="C313" s="36">
        <f>AVERAGE(D101:D103)</f>
        <v/>
      </c>
      <c r="D313" s="36">
        <f>AVERAGE(E101:E103)</f>
        <v/>
      </c>
      <c r="E313" s="36">
        <f>0.5*C313/$B$376+0.5*D313/$B$377</f>
        <v/>
      </c>
      <c r="F313" s="36">
        <f>MIN(E312:E314)</f>
        <v/>
      </c>
      <c r="G313" s="36">
        <f>E313-F313</f>
        <v/>
      </c>
      <c r="H313" s="31" t="n"/>
      <c r="I313" s="31" t="n"/>
      <c r="J313" s="31" t="n"/>
      <c r="K313" s="31" t="n"/>
    </row>
    <row r="314" ht="24" customHeight="1">
      <c r="A314" s="31" t="inlineStr">
        <is>
          <t>P011</t>
        </is>
      </c>
      <c r="B314" s="31" t="inlineStr">
        <is>
          <t>TDR</t>
        </is>
      </c>
      <c r="C314" s="36">
        <f>AVERAGE(D104:D106)</f>
        <v/>
      </c>
      <c r="D314" s="36">
        <f>AVERAGE(E104:E106)</f>
        <v/>
      </c>
      <c r="E314" s="36">
        <f>0.5*C314/$B$376+0.5*D314/$B$377</f>
        <v/>
      </c>
      <c r="F314" s="36">
        <f>MIN(E312:E314)</f>
        <v/>
      </c>
      <c r="G314" s="36">
        <f>E314-F314</f>
        <v/>
      </c>
      <c r="H314" s="31" t="n"/>
      <c r="I314" s="31" t="n"/>
      <c r="J314" s="31" t="n"/>
      <c r="K314" s="31" t="n"/>
    </row>
    <row r="315" ht="24" customHeight="1">
      <c r="A315" s="31" t="inlineStr">
        <is>
          <t>P012</t>
        </is>
      </c>
      <c r="B315" s="31" t="inlineStr">
        <is>
          <t>SP</t>
        </is>
      </c>
      <c r="C315" s="36">
        <f>AVERAGE(D107:D109)</f>
        <v/>
      </c>
      <c r="D315" s="36">
        <f>AVERAGE(E107:E109)</f>
        <v/>
      </c>
      <c r="E315" s="36">
        <f>0.5*C315/$B$376+0.5*D315/$B$377</f>
        <v/>
      </c>
      <c r="F315" s="36">
        <f>MIN(E315:E317)</f>
        <v/>
      </c>
      <c r="G315" s="36">
        <f>E315-F315</f>
        <v/>
      </c>
      <c r="H315" s="31" t="n"/>
      <c r="I315" s="31" t="n"/>
      <c r="J315" s="31" t="n"/>
      <c r="K315" s="31" t="n"/>
    </row>
    <row r="316" ht="24" customHeight="1">
      <c r="A316" s="31" t="inlineStr">
        <is>
          <t>P012</t>
        </is>
      </c>
      <c r="B316" s="31" t="inlineStr">
        <is>
          <t>DTT</t>
        </is>
      </c>
      <c r="C316" s="36">
        <f>AVERAGE(D110:D112)</f>
        <v/>
      </c>
      <c r="D316" s="36">
        <f>AVERAGE(E110:E112)</f>
        <v/>
      </c>
      <c r="E316" s="36">
        <f>0.5*C316/$B$376+0.5*D316/$B$377</f>
        <v/>
      </c>
      <c r="F316" s="36">
        <f>MIN(E315:E317)</f>
        <v/>
      </c>
      <c r="G316" s="36">
        <f>E316-F316</f>
        <v/>
      </c>
      <c r="H316" s="31" t="n"/>
      <c r="I316" s="31" t="n"/>
      <c r="J316" s="31" t="n"/>
      <c r="K316" s="31" t="n"/>
    </row>
    <row r="317" ht="24" customHeight="1">
      <c r="A317" s="31" t="inlineStr">
        <is>
          <t>P012</t>
        </is>
      </c>
      <c r="B317" s="31" t="inlineStr">
        <is>
          <t>TDR</t>
        </is>
      </c>
      <c r="C317" s="36">
        <f>AVERAGE(D113:D115)</f>
        <v/>
      </c>
      <c r="D317" s="36">
        <f>AVERAGE(E113:E115)</f>
        <v/>
      </c>
      <c r="E317" s="36">
        <f>0.5*C317/$B$376+0.5*D317/$B$377</f>
        <v/>
      </c>
      <c r="F317" s="36">
        <f>MIN(E315:E317)</f>
        <v/>
      </c>
      <c r="G317" s="36">
        <f>E317-F317</f>
        <v/>
      </c>
      <c r="H317" s="31" t="n"/>
      <c r="I317" s="31" t="n"/>
      <c r="J317" s="31" t="n"/>
      <c r="K317" s="31" t="n"/>
    </row>
    <row r="318" ht="24" customHeight="1">
      <c r="A318" s="31" t="inlineStr">
        <is>
          <t>P013</t>
        </is>
      </c>
      <c r="B318" s="31" t="inlineStr">
        <is>
          <t>SP</t>
        </is>
      </c>
      <c r="C318" s="36">
        <f>AVERAGE(D116:D118)</f>
        <v/>
      </c>
      <c r="D318" s="36">
        <f>AVERAGE(E116:E118)</f>
        <v/>
      </c>
      <c r="E318" s="36">
        <f>0.5*C318/$B$376+0.5*D318/$B$377</f>
        <v/>
      </c>
      <c r="F318" s="36">
        <f>MIN(E318:E320)</f>
        <v/>
      </c>
      <c r="G318" s="36">
        <f>E318-F318</f>
        <v/>
      </c>
      <c r="H318" s="31" t="n"/>
      <c r="I318" s="31" t="n"/>
      <c r="J318" s="31" t="n"/>
      <c r="K318" s="31" t="n"/>
    </row>
    <row r="319" ht="24" customHeight="1">
      <c r="A319" s="31" t="inlineStr">
        <is>
          <t>P013</t>
        </is>
      </c>
      <c r="B319" s="31" t="inlineStr">
        <is>
          <t>DTT</t>
        </is>
      </c>
      <c r="C319" s="36">
        <f>AVERAGE(D119:D121)</f>
        <v/>
      </c>
      <c r="D319" s="36">
        <f>AVERAGE(E119:E121)</f>
        <v/>
      </c>
      <c r="E319" s="36">
        <f>0.5*C319/$B$376+0.5*D319/$B$377</f>
        <v/>
      </c>
      <c r="F319" s="36">
        <f>MIN(E318:E320)</f>
        <v/>
      </c>
      <c r="G319" s="36">
        <f>E319-F319</f>
        <v/>
      </c>
      <c r="H319" s="31" t="n"/>
      <c r="I319" s="31" t="n"/>
      <c r="J319" s="31" t="n"/>
      <c r="K319" s="31" t="n"/>
    </row>
    <row r="320" ht="24" customHeight="1">
      <c r="A320" s="31" t="inlineStr">
        <is>
          <t>P013</t>
        </is>
      </c>
      <c r="B320" s="31" t="inlineStr">
        <is>
          <t>TDR</t>
        </is>
      </c>
      <c r="C320" s="36">
        <f>AVERAGE(D122:D124)</f>
        <v/>
      </c>
      <c r="D320" s="36">
        <f>AVERAGE(E122:E124)</f>
        <v/>
      </c>
      <c r="E320" s="36">
        <f>0.5*C320/$B$376+0.5*D320/$B$377</f>
        <v/>
      </c>
      <c r="F320" s="36">
        <f>MIN(E318:E320)</f>
        <v/>
      </c>
      <c r="G320" s="36">
        <f>E320-F320</f>
        <v/>
      </c>
      <c r="H320" s="31" t="n"/>
      <c r="I320" s="31" t="n"/>
      <c r="J320" s="31" t="n"/>
      <c r="K320" s="31" t="n"/>
    </row>
    <row r="321" ht="24" customHeight="1">
      <c r="A321" s="31" t="inlineStr">
        <is>
          <t>P014</t>
        </is>
      </c>
      <c r="B321" s="31" t="inlineStr">
        <is>
          <t>SP</t>
        </is>
      </c>
      <c r="C321" s="36">
        <f>AVERAGE(D125:D127)</f>
        <v/>
      </c>
      <c r="D321" s="36">
        <f>AVERAGE(E125:E127)</f>
        <v/>
      </c>
      <c r="E321" s="36">
        <f>0.5*C321/$B$376+0.5*D321/$B$377</f>
        <v/>
      </c>
      <c r="F321" s="36">
        <f>MIN(E321:E323)</f>
        <v/>
      </c>
      <c r="G321" s="36">
        <f>E321-F321</f>
        <v/>
      </c>
      <c r="H321" s="31" t="n"/>
      <c r="I321" s="31" t="n"/>
      <c r="J321" s="31" t="n"/>
      <c r="K321" s="31" t="n"/>
    </row>
    <row r="322" ht="24" customHeight="1">
      <c r="A322" s="31" t="inlineStr">
        <is>
          <t>P014</t>
        </is>
      </c>
      <c r="B322" s="31" t="inlineStr">
        <is>
          <t>DTT</t>
        </is>
      </c>
      <c r="C322" s="36">
        <f>AVERAGE(D128:D130)</f>
        <v/>
      </c>
      <c r="D322" s="36">
        <f>AVERAGE(E128:E130)</f>
        <v/>
      </c>
      <c r="E322" s="36">
        <f>0.5*C322/$B$376+0.5*D322/$B$377</f>
        <v/>
      </c>
      <c r="F322" s="36">
        <f>MIN(E321:E323)</f>
        <v/>
      </c>
      <c r="G322" s="36">
        <f>E322-F322</f>
        <v/>
      </c>
      <c r="H322" s="31" t="n"/>
      <c r="I322" s="31" t="n"/>
      <c r="J322" s="31" t="n"/>
      <c r="K322" s="31" t="n"/>
    </row>
    <row r="323" ht="24" customHeight="1">
      <c r="A323" s="31" t="inlineStr">
        <is>
          <t>P014</t>
        </is>
      </c>
      <c r="B323" s="31" t="inlineStr">
        <is>
          <t>TDR</t>
        </is>
      </c>
      <c r="C323" s="36">
        <f>AVERAGE(D131:D133)</f>
        <v/>
      </c>
      <c r="D323" s="36">
        <f>AVERAGE(E131:E133)</f>
        <v/>
      </c>
      <c r="E323" s="36">
        <f>0.5*C323/$B$376+0.5*D323/$B$377</f>
        <v/>
      </c>
      <c r="F323" s="36">
        <f>MIN(E321:E323)</f>
        <v/>
      </c>
      <c r="G323" s="36">
        <f>E323-F323</f>
        <v/>
      </c>
      <c r="H323" s="31" t="n"/>
      <c r="I323" s="31" t="n"/>
      <c r="J323" s="31" t="n"/>
      <c r="K323" s="31" t="n"/>
    </row>
    <row r="324" ht="24" customHeight="1">
      <c r="A324" s="31" t="inlineStr">
        <is>
          <t>P015</t>
        </is>
      </c>
      <c r="B324" s="31" t="inlineStr">
        <is>
          <t>SP</t>
        </is>
      </c>
      <c r="C324" s="36">
        <f>AVERAGE(D134:D136)</f>
        <v/>
      </c>
      <c r="D324" s="36">
        <f>AVERAGE(E134:E136)</f>
        <v/>
      </c>
      <c r="E324" s="36">
        <f>0.5*C324/$B$376+0.5*D324/$B$377</f>
        <v/>
      </c>
      <c r="F324" s="36">
        <f>MIN(E324:E326)</f>
        <v/>
      </c>
      <c r="G324" s="36">
        <f>E324-F324</f>
        <v/>
      </c>
      <c r="H324" s="31" t="n"/>
      <c r="I324" s="31" t="n"/>
      <c r="J324" s="31" t="n"/>
      <c r="K324" s="31" t="n"/>
    </row>
    <row r="325" ht="24" customHeight="1">
      <c r="A325" s="31" t="inlineStr">
        <is>
          <t>P015</t>
        </is>
      </c>
      <c r="B325" s="31" t="inlineStr">
        <is>
          <t>DTT</t>
        </is>
      </c>
      <c r="C325" s="36">
        <f>AVERAGE(D137:D139)</f>
        <v/>
      </c>
      <c r="D325" s="36">
        <f>AVERAGE(E137:E139)</f>
        <v/>
      </c>
      <c r="E325" s="36">
        <f>0.5*C325/$B$376+0.5*D325/$B$377</f>
        <v/>
      </c>
      <c r="F325" s="36">
        <f>MIN(E324:E326)</f>
        <v/>
      </c>
      <c r="G325" s="36">
        <f>E325-F325</f>
        <v/>
      </c>
      <c r="H325" s="31" t="n"/>
      <c r="I325" s="31" t="n"/>
      <c r="J325" s="31" t="n"/>
      <c r="K325" s="31" t="n"/>
    </row>
    <row r="326" ht="24" customHeight="1">
      <c r="A326" s="31" t="inlineStr">
        <is>
          <t>P015</t>
        </is>
      </c>
      <c r="B326" s="31" t="inlineStr">
        <is>
          <t>TDR</t>
        </is>
      </c>
      <c r="C326" s="36">
        <f>AVERAGE(D140:D142)</f>
        <v/>
      </c>
      <c r="D326" s="36">
        <f>AVERAGE(E140:E142)</f>
        <v/>
      </c>
      <c r="E326" s="36">
        <f>0.5*C326/$B$376+0.5*D326/$B$377</f>
        <v/>
      </c>
      <c r="F326" s="36">
        <f>MIN(E324:E326)</f>
        <v/>
      </c>
      <c r="G326" s="36">
        <f>E326-F326</f>
        <v/>
      </c>
      <c r="H326" s="31" t="n"/>
      <c r="I326" s="31" t="n"/>
      <c r="J326" s="31" t="n"/>
      <c r="K326" s="31" t="n"/>
    </row>
    <row r="327" ht="24" customHeight="1">
      <c r="A327" s="31" t="inlineStr">
        <is>
          <t>P016</t>
        </is>
      </c>
      <c r="B327" s="31" t="inlineStr">
        <is>
          <t>SP</t>
        </is>
      </c>
      <c r="C327" s="36">
        <f>AVERAGE(D143:D145)</f>
        <v/>
      </c>
      <c r="D327" s="36">
        <f>AVERAGE(E143:E145)</f>
        <v/>
      </c>
      <c r="E327" s="36">
        <f>0.5*C327/$B$376+0.5*D327/$B$377</f>
        <v/>
      </c>
      <c r="F327" s="36">
        <f>MIN(E327:E329)</f>
        <v/>
      </c>
      <c r="G327" s="36">
        <f>E327-F327</f>
        <v/>
      </c>
      <c r="H327" s="31" t="n"/>
      <c r="I327" s="31" t="n"/>
      <c r="J327" s="31" t="n"/>
      <c r="K327" s="31" t="n"/>
    </row>
    <row r="328" ht="24" customHeight="1">
      <c r="A328" s="31" t="inlineStr">
        <is>
          <t>P016</t>
        </is>
      </c>
      <c r="B328" s="31" t="inlineStr">
        <is>
          <t>DTT</t>
        </is>
      </c>
      <c r="C328" s="36">
        <f>AVERAGE(D146:D148)</f>
        <v/>
      </c>
      <c r="D328" s="36">
        <f>AVERAGE(E146:E148)</f>
        <v/>
      </c>
      <c r="E328" s="36">
        <f>0.5*C328/$B$376+0.5*D328/$B$377</f>
        <v/>
      </c>
      <c r="F328" s="36">
        <f>MIN(E327:E329)</f>
        <v/>
      </c>
      <c r="G328" s="36">
        <f>E328-F328</f>
        <v/>
      </c>
      <c r="H328" s="31" t="n"/>
      <c r="I328" s="31" t="n"/>
      <c r="J328" s="31" t="n"/>
      <c r="K328" s="31" t="n"/>
    </row>
    <row r="329" ht="24" customHeight="1">
      <c r="A329" s="31" t="inlineStr">
        <is>
          <t>P016</t>
        </is>
      </c>
      <c r="B329" s="31" t="inlineStr">
        <is>
          <t>TDR</t>
        </is>
      </c>
      <c r="C329" s="36">
        <f>AVERAGE(D149:D151)</f>
        <v/>
      </c>
      <c r="D329" s="36">
        <f>AVERAGE(E149:E151)</f>
        <v/>
      </c>
      <c r="E329" s="36">
        <f>0.5*C329/$B$376+0.5*D329/$B$377</f>
        <v/>
      </c>
      <c r="F329" s="36">
        <f>MIN(E327:E329)</f>
        <v/>
      </c>
      <c r="G329" s="36">
        <f>E329-F329</f>
        <v/>
      </c>
      <c r="H329" s="31" t="n"/>
      <c r="I329" s="31" t="n"/>
      <c r="J329" s="31" t="n"/>
      <c r="K329" s="31" t="n"/>
    </row>
    <row r="330" ht="24" customHeight="1">
      <c r="A330" s="31" t="inlineStr">
        <is>
          <t>P017</t>
        </is>
      </c>
      <c r="B330" s="31" t="inlineStr">
        <is>
          <t>SP</t>
        </is>
      </c>
      <c r="C330" s="36">
        <f>AVERAGE(D152:D154)</f>
        <v/>
      </c>
      <c r="D330" s="36">
        <f>AVERAGE(E152:E154)</f>
        <v/>
      </c>
      <c r="E330" s="36">
        <f>0.5*C330/$B$376+0.5*D330/$B$377</f>
        <v/>
      </c>
      <c r="F330" s="36">
        <f>MIN(E330:E332)</f>
        <v/>
      </c>
      <c r="G330" s="36">
        <f>E330-F330</f>
        <v/>
      </c>
      <c r="H330" s="31" t="n"/>
      <c r="I330" s="31" t="n"/>
      <c r="J330" s="31" t="n"/>
      <c r="K330" s="31" t="n"/>
    </row>
    <row r="331" ht="24" customHeight="1">
      <c r="A331" s="31" t="inlineStr">
        <is>
          <t>P017</t>
        </is>
      </c>
      <c r="B331" s="31" t="inlineStr">
        <is>
          <t>DTT</t>
        </is>
      </c>
      <c r="C331" s="36">
        <f>AVERAGE(D155:D157)</f>
        <v/>
      </c>
      <c r="D331" s="36">
        <f>AVERAGE(E155:E157)</f>
        <v/>
      </c>
      <c r="E331" s="36">
        <f>0.5*C331/$B$376+0.5*D331/$B$377</f>
        <v/>
      </c>
      <c r="F331" s="36">
        <f>MIN(E330:E332)</f>
        <v/>
      </c>
      <c r="G331" s="36">
        <f>E331-F331</f>
        <v/>
      </c>
      <c r="H331" s="31" t="n"/>
      <c r="I331" s="31" t="n"/>
      <c r="J331" s="31" t="n"/>
      <c r="K331" s="31" t="n"/>
    </row>
    <row r="332" ht="24" customHeight="1">
      <c r="A332" s="31" t="inlineStr">
        <is>
          <t>P017</t>
        </is>
      </c>
      <c r="B332" s="31" t="inlineStr">
        <is>
          <t>TDR</t>
        </is>
      </c>
      <c r="C332" s="36">
        <f>AVERAGE(D158:D160)</f>
        <v/>
      </c>
      <c r="D332" s="36">
        <f>AVERAGE(E158:E160)</f>
        <v/>
      </c>
      <c r="E332" s="36">
        <f>0.5*C332/$B$376+0.5*D332/$B$377</f>
        <v/>
      </c>
      <c r="F332" s="36">
        <f>MIN(E330:E332)</f>
        <v/>
      </c>
      <c r="G332" s="36">
        <f>E332-F332</f>
        <v/>
      </c>
      <c r="H332" s="31" t="n"/>
      <c r="I332" s="31" t="n"/>
      <c r="J332" s="31" t="n"/>
      <c r="K332" s="31" t="n"/>
    </row>
    <row r="333" ht="24" customHeight="1">
      <c r="A333" s="31" t="inlineStr">
        <is>
          <t>P018</t>
        </is>
      </c>
      <c r="B333" s="31" t="inlineStr">
        <is>
          <t>SP</t>
        </is>
      </c>
      <c r="C333" s="36">
        <f>AVERAGE(D161:D163)</f>
        <v/>
      </c>
      <c r="D333" s="36">
        <f>AVERAGE(E161:E163)</f>
        <v/>
      </c>
      <c r="E333" s="36">
        <f>0.5*C333/$B$376+0.5*D333/$B$377</f>
        <v/>
      </c>
      <c r="F333" s="36">
        <f>MIN(E333:E335)</f>
        <v/>
      </c>
      <c r="G333" s="36">
        <f>E333-F333</f>
        <v/>
      </c>
      <c r="H333" s="31" t="n"/>
      <c r="I333" s="31" t="n"/>
      <c r="J333" s="31" t="n"/>
      <c r="K333" s="31" t="n"/>
    </row>
    <row r="334" ht="24" customHeight="1">
      <c r="A334" s="31" t="inlineStr">
        <is>
          <t>P018</t>
        </is>
      </c>
      <c r="B334" s="31" t="inlineStr">
        <is>
          <t>DTT</t>
        </is>
      </c>
      <c r="C334" s="36">
        <f>AVERAGE(D164:D166)</f>
        <v/>
      </c>
      <c r="D334" s="36">
        <f>AVERAGE(E164:E166)</f>
        <v/>
      </c>
      <c r="E334" s="36">
        <f>0.5*C334/$B$376+0.5*D334/$B$377</f>
        <v/>
      </c>
      <c r="F334" s="36">
        <f>MIN(E333:E335)</f>
        <v/>
      </c>
      <c r="G334" s="36">
        <f>E334-F334</f>
        <v/>
      </c>
      <c r="H334" s="31" t="n"/>
      <c r="I334" s="31" t="n"/>
      <c r="J334" s="31" t="n"/>
      <c r="K334" s="31" t="n"/>
    </row>
    <row r="335" ht="24" customHeight="1">
      <c r="A335" s="31" t="inlineStr">
        <is>
          <t>P018</t>
        </is>
      </c>
      <c r="B335" s="31" t="inlineStr">
        <is>
          <t>TDR</t>
        </is>
      </c>
      <c r="C335" s="36">
        <f>AVERAGE(D167:D169)</f>
        <v/>
      </c>
      <c r="D335" s="36">
        <f>AVERAGE(E167:E169)</f>
        <v/>
      </c>
      <c r="E335" s="36">
        <f>0.5*C335/$B$376+0.5*D335/$B$377</f>
        <v/>
      </c>
      <c r="F335" s="36">
        <f>MIN(E333:E335)</f>
        <v/>
      </c>
      <c r="G335" s="36">
        <f>E335-F335</f>
        <v/>
      </c>
      <c r="H335" s="31" t="n"/>
      <c r="I335" s="31" t="n"/>
      <c r="J335" s="31" t="n"/>
      <c r="K335" s="31" t="n"/>
    </row>
    <row r="336" ht="24" customHeight="1">
      <c r="A336" s="31" t="inlineStr">
        <is>
          <t>P019</t>
        </is>
      </c>
      <c r="B336" s="31" t="inlineStr">
        <is>
          <t>SP</t>
        </is>
      </c>
      <c r="C336" s="36">
        <f>AVERAGE(D170:D172)</f>
        <v/>
      </c>
      <c r="D336" s="36">
        <f>AVERAGE(E170:E172)</f>
        <v/>
      </c>
      <c r="E336" s="36">
        <f>0.5*C336/$B$376+0.5*D336/$B$377</f>
        <v/>
      </c>
      <c r="F336" s="36">
        <f>MIN(E336:E338)</f>
        <v/>
      </c>
      <c r="G336" s="36">
        <f>E336-F336</f>
        <v/>
      </c>
      <c r="H336" s="31" t="n"/>
      <c r="I336" s="31" t="n"/>
      <c r="J336" s="31" t="n"/>
      <c r="K336" s="31" t="n"/>
    </row>
    <row r="337" ht="24" customHeight="1">
      <c r="A337" s="31" t="inlineStr">
        <is>
          <t>P019</t>
        </is>
      </c>
      <c r="B337" s="31" t="inlineStr">
        <is>
          <t>DTT</t>
        </is>
      </c>
      <c r="C337" s="36">
        <f>AVERAGE(D173:D175)</f>
        <v/>
      </c>
      <c r="D337" s="36">
        <f>AVERAGE(E173:E175)</f>
        <v/>
      </c>
      <c r="E337" s="36">
        <f>0.5*C337/$B$376+0.5*D337/$B$377</f>
        <v/>
      </c>
      <c r="F337" s="36">
        <f>MIN(E336:E338)</f>
        <v/>
      </c>
      <c r="G337" s="36">
        <f>E337-F337</f>
        <v/>
      </c>
      <c r="H337" s="31" t="n"/>
      <c r="I337" s="31" t="n"/>
      <c r="J337" s="31" t="n"/>
      <c r="K337" s="31" t="n"/>
    </row>
    <row r="338" ht="24" customHeight="1">
      <c r="A338" s="31" t="inlineStr">
        <is>
          <t>P019</t>
        </is>
      </c>
      <c r="B338" s="31" t="inlineStr">
        <is>
          <t>TDR</t>
        </is>
      </c>
      <c r="C338" s="36">
        <f>AVERAGE(D176:D178)</f>
        <v/>
      </c>
      <c r="D338" s="36">
        <f>AVERAGE(E176:E178)</f>
        <v/>
      </c>
      <c r="E338" s="36">
        <f>0.5*C338/$B$376+0.5*D338/$B$377</f>
        <v/>
      </c>
      <c r="F338" s="36">
        <f>MIN(E336:E338)</f>
        <v/>
      </c>
      <c r="G338" s="36">
        <f>E338-F338</f>
        <v/>
      </c>
      <c r="H338" s="31" t="n"/>
      <c r="I338" s="31" t="n"/>
      <c r="J338" s="31" t="n"/>
      <c r="K338" s="31" t="n"/>
    </row>
    <row r="339" ht="24" customHeight="1">
      <c r="A339" s="31" t="inlineStr">
        <is>
          <t>P020</t>
        </is>
      </c>
      <c r="B339" s="31" t="inlineStr">
        <is>
          <t>SP</t>
        </is>
      </c>
      <c r="C339" s="36">
        <f>AVERAGE(D179:D181)</f>
        <v/>
      </c>
      <c r="D339" s="36">
        <f>AVERAGE(E179:E181)</f>
        <v/>
      </c>
      <c r="E339" s="36">
        <f>0.5*C339/$B$376+0.5*D339/$B$377</f>
        <v/>
      </c>
      <c r="F339" s="36">
        <f>MIN(E339:E341)</f>
        <v/>
      </c>
      <c r="G339" s="36">
        <f>E339-F339</f>
        <v/>
      </c>
      <c r="H339" s="31" t="n"/>
      <c r="I339" s="31" t="n"/>
      <c r="J339" s="31" t="n"/>
      <c r="K339" s="31" t="n"/>
    </row>
    <row r="340" ht="24" customHeight="1">
      <c r="A340" s="31" t="inlineStr">
        <is>
          <t>P020</t>
        </is>
      </c>
      <c r="B340" s="31" t="inlineStr">
        <is>
          <t>DTT</t>
        </is>
      </c>
      <c r="C340" s="36">
        <f>AVERAGE(D182:D184)</f>
        <v/>
      </c>
      <c r="D340" s="36">
        <f>AVERAGE(E182:E184)</f>
        <v/>
      </c>
      <c r="E340" s="36">
        <f>0.5*C340/$B$376+0.5*D340/$B$377</f>
        <v/>
      </c>
      <c r="F340" s="36">
        <f>MIN(E339:E341)</f>
        <v/>
      </c>
      <c r="G340" s="36">
        <f>E340-F340</f>
        <v/>
      </c>
      <c r="H340" s="31" t="n"/>
      <c r="I340" s="31" t="n"/>
      <c r="J340" s="31" t="n"/>
      <c r="K340" s="31" t="n"/>
    </row>
    <row r="341" ht="24" customHeight="1">
      <c r="A341" s="31" t="inlineStr">
        <is>
          <t>P020</t>
        </is>
      </c>
      <c r="B341" s="31" t="inlineStr">
        <is>
          <t>TDR</t>
        </is>
      </c>
      <c r="C341" s="36">
        <f>AVERAGE(D185:D187)</f>
        <v/>
      </c>
      <c r="D341" s="36">
        <f>AVERAGE(E185:E187)</f>
        <v/>
      </c>
      <c r="E341" s="36">
        <f>0.5*C341/$B$376+0.5*D341/$B$377</f>
        <v/>
      </c>
      <c r="F341" s="36">
        <f>MIN(E339:E341)</f>
        <v/>
      </c>
      <c r="G341" s="36">
        <f>E341-F341</f>
        <v/>
      </c>
      <c r="H341" s="31" t="n"/>
      <c r="I341" s="31" t="n"/>
      <c r="J341" s="31" t="n"/>
      <c r="K341" s="31" t="n"/>
    </row>
    <row r="342" ht="24" customHeight="1">
      <c r="A342" s="31" t="inlineStr">
        <is>
          <t>P021</t>
        </is>
      </c>
      <c r="B342" s="31" t="inlineStr">
        <is>
          <t>SP</t>
        </is>
      </c>
      <c r="C342" s="36">
        <f>AVERAGE(D188:D190)</f>
        <v/>
      </c>
      <c r="D342" s="36">
        <f>AVERAGE(E188:E190)</f>
        <v/>
      </c>
      <c r="E342" s="36">
        <f>0.5*C342/$B$376+0.5*D342/$B$377</f>
        <v/>
      </c>
      <c r="F342" s="36">
        <f>MIN(E342:E344)</f>
        <v/>
      </c>
      <c r="G342" s="36">
        <f>E342-F342</f>
        <v/>
      </c>
      <c r="H342" s="31" t="n"/>
      <c r="I342" s="31" t="n"/>
      <c r="J342" s="31" t="n"/>
      <c r="K342" s="31" t="n"/>
    </row>
    <row r="343" ht="24" customHeight="1">
      <c r="A343" s="31" t="inlineStr">
        <is>
          <t>P021</t>
        </is>
      </c>
      <c r="B343" s="31" t="inlineStr">
        <is>
          <t>DTT</t>
        </is>
      </c>
      <c r="C343" s="36">
        <f>AVERAGE(D191:D193)</f>
        <v/>
      </c>
      <c r="D343" s="36">
        <f>AVERAGE(E191:E193)</f>
        <v/>
      </c>
      <c r="E343" s="36">
        <f>0.5*C343/$B$376+0.5*D343/$B$377</f>
        <v/>
      </c>
      <c r="F343" s="36">
        <f>MIN(E342:E344)</f>
        <v/>
      </c>
      <c r="G343" s="36">
        <f>E343-F343</f>
        <v/>
      </c>
      <c r="H343" s="31" t="n"/>
      <c r="I343" s="31" t="n"/>
      <c r="J343" s="31" t="n"/>
      <c r="K343" s="31" t="n"/>
    </row>
    <row r="344" ht="24" customHeight="1">
      <c r="A344" s="31" t="inlineStr">
        <is>
          <t>P021</t>
        </is>
      </c>
      <c r="B344" s="31" t="inlineStr">
        <is>
          <t>TDR</t>
        </is>
      </c>
      <c r="C344" s="36">
        <f>AVERAGE(D194:D196)</f>
        <v/>
      </c>
      <c r="D344" s="36">
        <f>AVERAGE(E194:E196)</f>
        <v/>
      </c>
      <c r="E344" s="36">
        <f>0.5*C344/$B$376+0.5*D344/$B$377</f>
        <v/>
      </c>
      <c r="F344" s="36">
        <f>MIN(E342:E344)</f>
        <v/>
      </c>
      <c r="G344" s="36">
        <f>E344-F344</f>
        <v/>
      </c>
      <c r="H344" s="31" t="n"/>
      <c r="I344" s="31" t="n"/>
      <c r="J344" s="31" t="n"/>
      <c r="K344" s="31" t="n"/>
    </row>
    <row r="345" ht="24" customHeight="1">
      <c r="A345" s="31" t="inlineStr">
        <is>
          <t>P022</t>
        </is>
      </c>
      <c r="B345" s="31" t="inlineStr">
        <is>
          <t>SP</t>
        </is>
      </c>
      <c r="C345" s="36">
        <f>AVERAGE(D197:D199)</f>
        <v/>
      </c>
      <c r="D345" s="36">
        <f>AVERAGE(E197:E199)</f>
        <v/>
      </c>
      <c r="E345" s="36">
        <f>0.5*C345/$B$376+0.5*D345/$B$377</f>
        <v/>
      </c>
      <c r="F345" s="36">
        <f>MIN(E345:E347)</f>
        <v/>
      </c>
      <c r="G345" s="36">
        <f>E345-F345</f>
        <v/>
      </c>
      <c r="H345" s="31" t="n"/>
      <c r="I345" s="31" t="n"/>
      <c r="J345" s="31" t="n"/>
      <c r="K345" s="31" t="n"/>
    </row>
    <row r="346" ht="24" customHeight="1">
      <c r="A346" s="31" t="inlineStr">
        <is>
          <t>P022</t>
        </is>
      </c>
      <c r="B346" s="31" t="inlineStr">
        <is>
          <t>DTT</t>
        </is>
      </c>
      <c r="C346" s="36">
        <f>AVERAGE(D200:D202)</f>
        <v/>
      </c>
      <c r="D346" s="36">
        <f>AVERAGE(E200:E202)</f>
        <v/>
      </c>
      <c r="E346" s="36">
        <f>0.5*C346/$B$376+0.5*D346/$B$377</f>
        <v/>
      </c>
      <c r="F346" s="36">
        <f>MIN(E345:E347)</f>
        <v/>
      </c>
      <c r="G346" s="36">
        <f>E346-F346</f>
        <v/>
      </c>
      <c r="H346" s="31" t="n"/>
      <c r="I346" s="31" t="n"/>
      <c r="J346" s="31" t="n"/>
      <c r="K346" s="31" t="n"/>
    </row>
    <row r="347" ht="24" customHeight="1">
      <c r="A347" s="31" t="inlineStr">
        <is>
          <t>P022</t>
        </is>
      </c>
      <c r="B347" s="31" t="inlineStr">
        <is>
          <t>TDR</t>
        </is>
      </c>
      <c r="C347" s="36">
        <f>AVERAGE(D203:D205)</f>
        <v/>
      </c>
      <c r="D347" s="36">
        <f>AVERAGE(E203:E205)</f>
        <v/>
      </c>
      <c r="E347" s="36">
        <f>0.5*C347/$B$376+0.5*D347/$B$377</f>
        <v/>
      </c>
      <c r="F347" s="36">
        <f>MIN(E345:E347)</f>
        <v/>
      </c>
      <c r="G347" s="36">
        <f>E347-F347</f>
        <v/>
      </c>
      <c r="H347" s="31" t="n"/>
      <c r="I347" s="31" t="n"/>
      <c r="J347" s="31" t="n"/>
      <c r="K347" s="31" t="n"/>
    </row>
    <row r="348" ht="24" customHeight="1">
      <c r="A348" s="31" t="inlineStr">
        <is>
          <t>P023</t>
        </is>
      </c>
      <c r="B348" s="31" t="inlineStr">
        <is>
          <t>SP</t>
        </is>
      </c>
      <c r="C348" s="36">
        <f>AVERAGE(D206:D208)</f>
        <v/>
      </c>
      <c r="D348" s="36">
        <f>AVERAGE(E206:E208)</f>
        <v/>
      </c>
      <c r="E348" s="36">
        <f>0.5*C348/$B$376+0.5*D348/$B$377</f>
        <v/>
      </c>
      <c r="F348" s="36">
        <f>MIN(E348:E350)</f>
        <v/>
      </c>
      <c r="G348" s="36">
        <f>E348-F348</f>
        <v/>
      </c>
      <c r="H348" s="31" t="n"/>
      <c r="I348" s="31" t="n"/>
      <c r="J348" s="31" t="n"/>
      <c r="K348" s="31" t="n"/>
    </row>
    <row r="349" ht="24" customHeight="1">
      <c r="A349" s="31" t="inlineStr">
        <is>
          <t>P023</t>
        </is>
      </c>
      <c r="B349" s="31" t="inlineStr">
        <is>
          <t>DTT</t>
        </is>
      </c>
      <c r="C349" s="36">
        <f>AVERAGE(D209:D211)</f>
        <v/>
      </c>
      <c r="D349" s="36">
        <f>AVERAGE(E209:E211)</f>
        <v/>
      </c>
      <c r="E349" s="36">
        <f>0.5*C349/$B$376+0.5*D349/$B$377</f>
        <v/>
      </c>
      <c r="F349" s="36">
        <f>MIN(E348:E350)</f>
        <v/>
      </c>
      <c r="G349" s="36">
        <f>E349-F349</f>
        <v/>
      </c>
      <c r="H349" s="31" t="n"/>
      <c r="I349" s="31" t="n"/>
      <c r="J349" s="31" t="n"/>
      <c r="K349" s="31" t="n"/>
    </row>
    <row r="350" ht="24" customHeight="1">
      <c r="A350" s="31" t="inlineStr">
        <is>
          <t>P023</t>
        </is>
      </c>
      <c r="B350" s="31" t="inlineStr">
        <is>
          <t>TDR</t>
        </is>
      </c>
      <c r="C350" s="36">
        <f>AVERAGE(D212:D214)</f>
        <v/>
      </c>
      <c r="D350" s="36">
        <f>AVERAGE(E212:E214)</f>
        <v/>
      </c>
      <c r="E350" s="36">
        <f>0.5*C350/$B$376+0.5*D350/$B$377</f>
        <v/>
      </c>
      <c r="F350" s="36">
        <f>MIN(E348:E350)</f>
        <v/>
      </c>
      <c r="G350" s="36">
        <f>E350-F350</f>
        <v/>
      </c>
      <c r="H350" s="31" t="n"/>
      <c r="I350" s="31" t="n"/>
      <c r="J350" s="31" t="n"/>
      <c r="K350" s="31" t="n"/>
    </row>
    <row r="351" ht="24" customHeight="1">
      <c r="A351" s="31" t="inlineStr">
        <is>
          <t>P024</t>
        </is>
      </c>
      <c r="B351" s="31" t="inlineStr">
        <is>
          <t>SP</t>
        </is>
      </c>
      <c r="C351" s="36">
        <f>AVERAGE(D215:D217)</f>
        <v/>
      </c>
      <c r="D351" s="36">
        <f>AVERAGE(E215:E217)</f>
        <v/>
      </c>
      <c r="E351" s="36">
        <f>0.5*C351/$B$376+0.5*D351/$B$377</f>
        <v/>
      </c>
      <c r="F351" s="36">
        <f>MIN(E351:E353)</f>
        <v/>
      </c>
      <c r="G351" s="36">
        <f>E351-F351</f>
        <v/>
      </c>
      <c r="H351" s="31" t="n"/>
      <c r="I351" s="31" t="n"/>
      <c r="J351" s="31" t="n"/>
      <c r="K351" s="31" t="n"/>
    </row>
    <row r="352" ht="24" customHeight="1">
      <c r="A352" s="31" t="inlineStr">
        <is>
          <t>P024</t>
        </is>
      </c>
      <c r="B352" s="31" t="inlineStr">
        <is>
          <t>DTT</t>
        </is>
      </c>
      <c r="C352" s="36">
        <f>AVERAGE(D218:D220)</f>
        <v/>
      </c>
      <c r="D352" s="36">
        <f>AVERAGE(E218:E220)</f>
        <v/>
      </c>
      <c r="E352" s="36">
        <f>0.5*C352/$B$376+0.5*D352/$B$377</f>
        <v/>
      </c>
      <c r="F352" s="36">
        <f>MIN(E351:E353)</f>
        <v/>
      </c>
      <c r="G352" s="36">
        <f>E352-F352</f>
        <v/>
      </c>
      <c r="H352" s="31" t="n"/>
      <c r="I352" s="31" t="n"/>
      <c r="J352" s="31" t="n"/>
      <c r="K352" s="31" t="n"/>
    </row>
    <row r="353" ht="24" customHeight="1">
      <c r="A353" s="31" t="inlineStr">
        <is>
          <t>P024</t>
        </is>
      </c>
      <c r="B353" s="31" t="inlineStr">
        <is>
          <t>TDR</t>
        </is>
      </c>
      <c r="C353" s="36">
        <f>AVERAGE(D221:D223)</f>
        <v/>
      </c>
      <c r="D353" s="36">
        <f>AVERAGE(E221:E223)</f>
        <v/>
      </c>
      <c r="E353" s="36">
        <f>0.5*C353/$B$376+0.5*D353/$B$377</f>
        <v/>
      </c>
      <c r="F353" s="36">
        <f>MIN(E351:E353)</f>
        <v/>
      </c>
      <c r="G353" s="36">
        <f>E353-F353</f>
        <v/>
      </c>
      <c r="H353" s="31" t="n"/>
      <c r="I353" s="31" t="n"/>
      <c r="J353" s="31" t="n"/>
      <c r="K353" s="31" t="n"/>
    </row>
    <row r="354" ht="24" customHeight="1">
      <c r="A354" s="31" t="inlineStr">
        <is>
          <t>P025</t>
        </is>
      </c>
      <c r="B354" s="31" t="inlineStr">
        <is>
          <t>SP</t>
        </is>
      </c>
      <c r="C354" s="36">
        <f>AVERAGE(D224:D226)</f>
        <v/>
      </c>
      <c r="D354" s="36">
        <f>AVERAGE(E224:E226)</f>
        <v/>
      </c>
      <c r="E354" s="36">
        <f>0.5*C354/$B$376+0.5*D354/$B$377</f>
        <v/>
      </c>
      <c r="F354" s="36">
        <f>MIN(E354:E356)</f>
        <v/>
      </c>
      <c r="G354" s="36">
        <f>E354-F354</f>
        <v/>
      </c>
      <c r="H354" s="31" t="n"/>
      <c r="I354" s="31" t="n"/>
      <c r="J354" s="31" t="n"/>
      <c r="K354" s="31" t="n"/>
    </row>
    <row r="355" ht="24" customHeight="1">
      <c r="A355" s="31" t="inlineStr">
        <is>
          <t>P025</t>
        </is>
      </c>
      <c r="B355" s="31" t="inlineStr">
        <is>
          <t>DTT</t>
        </is>
      </c>
      <c r="C355" s="36">
        <f>AVERAGE(D227:D229)</f>
        <v/>
      </c>
      <c r="D355" s="36">
        <f>AVERAGE(E227:E229)</f>
        <v/>
      </c>
      <c r="E355" s="36">
        <f>0.5*C355/$B$376+0.5*D355/$B$377</f>
        <v/>
      </c>
      <c r="F355" s="36">
        <f>MIN(E354:E356)</f>
        <v/>
      </c>
      <c r="G355" s="36">
        <f>E355-F355</f>
        <v/>
      </c>
      <c r="H355" s="31" t="n"/>
      <c r="I355" s="31" t="n"/>
      <c r="J355" s="31" t="n"/>
      <c r="K355" s="31" t="n"/>
    </row>
    <row r="356" ht="24" customHeight="1">
      <c r="A356" s="31" t="inlineStr">
        <is>
          <t>P025</t>
        </is>
      </c>
      <c r="B356" s="31" t="inlineStr">
        <is>
          <t>TDR</t>
        </is>
      </c>
      <c r="C356" s="36">
        <f>AVERAGE(D230:D232)</f>
        <v/>
      </c>
      <c r="D356" s="36">
        <f>AVERAGE(E230:E232)</f>
        <v/>
      </c>
      <c r="E356" s="36">
        <f>0.5*C356/$B$376+0.5*D356/$B$377</f>
        <v/>
      </c>
      <c r="F356" s="36">
        <f>MIN(E354:E356)</f>
        <v/>
      </c>
      <c r="G356" s="36">
        <f>E356-F356</f>
        <v/>
      </c>
      <c r="H356" s="31" t="n"/>
      <c r="I356" s="31" t="n"/>
      <c r="J356" s="31" t="n"/>
      <c r="K356" s="31" t="n"/>
    </row>
    <row r="357" ht="24" customHeight="1">
      <c r="A357" s="31" t="inlineStr">
        <is>
          <t>P026</t>
        </is>
      </c>
      <c r="B357" s="31" t="inlineStr">
        <is>
          <t>SP</t>
        </is>
      </c>
      <c r="C357" s="36">
        <f>AVERAGE(D233:D235)</f>
        <v/>
      </c>
      <c r="D357" s="36">
        <f>AVERAGE(E233:E235)</f>
        <v/>
      </c>
      <c r="E357" s="36">
        <f>0.5*C357/$B$376+0.5*D357/$B$377</f>
        <v/>
      </c>
      <c r="F357" s="36">
        <f>MIN(E357:E359)</f>
        <v/>
      </c>
      <c r="G357" s="36">
        <f>E357-F357</f>
        <v/>
      </c>
      <c r="H357" s="31" t="n"/>
      <c r="I357" s="31" t="n"/>
      <c r="J357" s="31" t="n"/>
      <c r="K357" s="31" t="n"/>
    </row>
    <row r="358" ht="24" customHeight="1">
      <c r="A358" s="31" t="inlineStr">
        <is>
          <t>P026</t>
        </is>
      </c>
      <c r="B358" s="31" t="inlineStr">
        <is>
          <t>DTT</t>
        </is>
      </c>
      <c r="C358" s="36">
        <f>AVERAGE(D236:D238)</f>
        <v/>
      </c>
      <c r="D358" s="36">
        <f>AVERAGE(E236:E238)</f>
        <v/>
      </c>
      <c r="E358" s="36">
        <f>0.5*C358/$B$376+0.5*D358/$B$377</f>
        <v/>
      </c>
      <c r="F358" s="36">
        <f>MIN(E357:E359)</f>
        <v/>
      </c>
      <c r="G358" s="36">
        <f>E358-F358</f>
        <v/>
      </c>
      <c r="H358" s="31" t="n"/>
      <c r="I358" s="31" t="n"/>
      <c r="J358" s="31" t="n"/>
      <c r="K358" s="31" t="n"/>
    </row>
    <row r="359" ht="24" customHeight="1">
      <c r="A359" s="31" t="inlineStr">
        <is>
          <t>P026</t>
        </is>
      </c>
      <c r="B359" s="31" t="inlineStr">
        <is>
          <t>TDR</t>
        </is>
      </c>
      <c r="C359" s="36">
        <f>AVERAGE(D239:D241)</f>
        <v/>
      </c>
      <c r="D359" s="36">
        <f>AVERAGE(E239:E241)</f>
        <v/>
      </c>
      <c r="E359" s="36">
        <f>0.5*C359/$B$376+0.5*D359/$B$377</f>
        <v/>
      </c>
      <c r="F359" s="36">
        <f>MIN(E357:E359)</f>
        <v/>
      </c>
      <c r="G359" s="36">
        <f>E359-F359</f>
        <v/>
      </c>
      <c r="H359" s="31" t="n"/>
      <c r="I359" s="31" t="n"/>
      <c r="J359" s="31" t="n"/>
      <c r="K359" s="31" t="n"/>
    </row>
    <row r="360" ht="24" customHeight="1">
      <c r="A360" s="31" t="inlineStr">
        <is>
          <t>P027</t>
        </is>
      </c>
      <c r="B360" s="31" t="inlineStr">
        <is>
          <t>SP</t>
        </is>
      </c>
      <c r="C360" s="36">
        <f>AVERAGE(D242:D244)</f>
        <v/>
      </c>
      <c r="D360" s="36">
        <f>AVERAGE(E242:E244)</f>
        <v/>
      </c>
      <c r="E360" s="36">
        <f>0.5*C360/$B$376+0.5*D360/$B$377</f>
        <v/>
      </c>
      <c r="F360" s="36">
        <f>MIN(E360:E362)</f>
        <v/>
      </c>
      <c r="G360" s="36">
        <f>E360-F360</f>
        <v/>
      </c>
      <c r="H360" s="31" t="n"/>
      <c r="I360" s="31" t="n"/>
      <c r="J360" s="31" t="n"/>
      <c r="K360" s="31" t="n"/>
    </row>
    <row r="361" ht="24" customHeight="1">
      <c r="A361" s="31" t="inlineStr">
        <is>
          <t>P027</t>
        </is>
      </c>
      <c r="B361" s="31" t="inlineStr">
        <is>
          <t>DTT</t>
        </is>
      </c>
      <c r="C361" s="36">
        <f>AVERAGE(D245:D247)</f>
        <v/>
      </c>
      <c r="D361" s="36">
        <f>AVERAGE(E245:E247)</f>
        <v/>
      </c>
      <c r="E361" s="36">
        <f>0.5*C361/$B$376+0.5*D361/$B$377</f>
        <v/>
      </c>
      <c r="F361" s="36">
        <f>MIN(E360:E362)</f>
        <v/>
      </c>
      <c r="G361" s="36">
        <f>E361-F361</f>
        <v/>
      </c>
      <c r="H361" s="31" t="n"/>
      <c r="I361" s="31" t="n"/>
      <c r="J361" s="31" t="n"/>
      <c r="K361" s="31" t="n"/>
    </row>
    <row r="362" ht="24" customHeight="1">
      <c r="A362" s="31" t="inlineStr">
        <is>
          <t>P027</t>
        </is>
      </c>
      <c r="B362" s="31" t="inlineStr">
        <is>
          <t>TDR</t>
        </is>
      </c>
      <c r="C362" s="36">
        <f>AVERAGE(D248:D250)</f>
        <v/>
      </c>
      <c r="D362" s="36">
        <f>AVERAGE(E248:E250)</f>
        <v/>
      </c>
      <c r="E362" s="36">
        <f>0.5*C362/$B$376+0.5*D362/$B$377</f>
        <v/>
      </c>
      <c r="F362" s="36">
        <f>MIN(E360:E362)</f>
        <v/>
      </c>
      <c r="G362" s="36">
        <f>E362-F362</f>
        <v/>
      </c>
      <c r="H362" s="31" t="n"/>
      <c r="I362" s="31" t="n"/>
      <c r="J362" s="31" t="n"/>
      <c r="K362" s="31" t="n"/>
    </row>
    <row r="363" ht="24" customHeight="1">
      <c r="A363" s="31" t="inlineStr">
        <is>
          <t>P028</t>
        </is>
      </c>
      <c r="B363" s="31" t="inlineStr">
        <is>
          <t>SP</t>
        </is>
      </c>
      <c r="C363" s="36">
        <f>AVERAGE(D251:D253)</f>
        <v/>
      </c>
      <c r="D363" s="36">
        <f>AVERAGE(E251:E253)</f>
        <v/>
      </c>
      <c r="E363" s="36">
        <f>0.5*C363/$B$376+0.5*D363/$B$377</f>
        <v/>
      </c>
      <c r="F363" s="36">
        <f>MIN(E363:E365)</f>
        <v/>
      </c>
      <c r="G363" s="36">
        <f>E363-F363</f>
        <v/>
      </c>
      <c r="H363" s="31" t="n"/>
      <c r="I363" s="31" t="n"/>
      <c r="J363" s="31" t="n"/>
      <c r="K363" s="31" t="n"/>
    </row>
    <row r="364" ht="24" customHeight="1">
      <c r="A364" s="31" t="inlineStr">
        <is>
          <t>P028</t>
        </is>
      </c>
      <c r="B364" s="31" t="inlineStr">
        <is>
          <t>DTT</t>
        </is>
      </c>
      <c r="C364" s="36">
        <f>AVERAGE(D254:D256)</f>
        <v/>
      </c>
      <c r="D364" s="36">
        <f>AVERAGE(E254:E256)</f>
        <v/>
      </c>
      <c r="E364" s="36">
        <f>0.5*C364/$B$376+0.5*D364/$B$377</f>
        <v/>
      </c>
      <c r="F364" s="36">
        <f>MIN(E363:E365)</f>
        <v/>
      </c>
      <c r="G364" s="36">
        <f>E364-F364</f>
        <v/>
      </c>
      <c r="H364" s="31" t="n"/>
      <c r="I364" s="31" t="n"/>
      <c r="J364" s="31" t="n"/>
      <c r="K364" s="31" t="n"/>
    </row>
    <row r="365" ht="24" customHeight="1">
      <c r="A365" s="31" t="inlineStr">
        <is>
          <t>P028</t>
        </is>
      </c>
      <c r="B365" s="31" t="inlineStr">
        <is>
          <t>TDR</t>
        </is>
      </c>
      <c r="C365" s="36">
        <f>AVERAGE(D257:D259)</f>
        <v/>
      </c>
      <c r="D365" s="36">
        <f>AVERAGE(E257:E259)</f>
        <v/>
      </c>
      <c r="E365" s="36">
        <f>0.5*C365/$B$376+0.5*D365/$B$377</f>
        <v/>
      </c>
      <c r="F365" s="36">
        <f>MIN(E363:E365)</f>
        <v/>
      </c>
      <c r="G365" s="36">
        <f>E365-F365</f>
        <v/>
      </c>
      <c r="H365" s="31" t="n"/>
      <c r="I365" s="31" t="n"/>
      <c r="J365" s="31" t="n"/>
      <c r="K365" s="31" t="n"/>
    </row>
    <row r="366" ht="24" customHeight="1">
      <c r="A366" s="31" t="inlineStr">
        <is>
          <t>P029</t>
        </is>
      </c>
      <c r="B366" s="31" t="inlineStr">
        <is>
          <t>SP</t>
        </is>
      </c>
      <c r="C366" s="36">
        <f>AVERAGE(D260:D262)</f>
        <v/>
      </c>
      <c r="D366" s="36">
        <f>AVERAGE(E260:E262)</f>
        <v/>
      </c>
      <c r="E366" s="36">
        <f>0.5*C366/$B$376+0.5*D366/$B$377</f>
        <v/>
      </c>
      <c r="F366" s="36">
        <f>MIN(E366:E368)</f>
        <v/>
      </c>
      <c r="G366" s="36">
        <f>E366-F366</f>
        <v/>
      </c>
      <c r="H366" s="31" t="n"/>
      <c r="I366" s="31" t="n"/>
      <c r="J366" s="31" t="n"/>
      <c r="K366" s="31" t="n"/>
    </row>
    <row r="367" ht="24" customHeight="1">
      <c r="A367" s="31" t="inlineStr">
        <is>
          <t>P029</t>
        </is>
      </c>
      <c r="B367" s="31" t="inlineStr">
        <is>
          <t>DTT</t>
        </is>
      </c>
      <c r="C367" s="36">
        <f>AVERAGE(D263:D265)</f>
        <v/>
      </c>
      <c r="D367" s="36">
        <f>AVERAGE(E263:E265)</f>
        <v/>
      </c>
      <c r="E367" s="36">
        <f>0.5*C367/$B$376+0.5*D367/$B$377</f>
        <v/>
      </c>
      <c r="F367" s="36">
        <f>MIN(E366:E368)</f>
        <v/>
      </c>
      <c r="G367" s="36">
        <f>E367-F367</f>
        <v/>
      </c>
      <c r="H367" s="31" t="n"/>
      <c r="I367" s="31" t="n"/>
      <c r="J367" s="31" t="n"/>
      <c r="K367" s="31" t="n"/>
    </row>
    <row r="368" ht="24" customHeight="1">
      <c r="A368" s="31" t="inlineStr">
        <is>
          <t>P029</t>
        </is>
      </c>
      <c r="B368" s="31" t="inlineStr">
        <is>
          <t>TDR</t>
        </is>
      </c>
      <c r="C368" s="36">
        <f>AVERAGE(D266:D268)</f>
        <v/>
      </c>
      <c r="D368" s="36">
        <f>AVERAGE(E266:E268)</f>
        <v/>
      </c>
      <c r="E368" s="36">
        <f>0.5*C368/$B$376+0.5*D368/$B$377</f>
        <v/>
      </c>
      <c r="F368" s="36">
        <f>MIN(E366:E368)</f>
        <v/>
      </c>
      <c r="G368" s="36">
        <f>E368-F368</f>
        <v/>
      </c>
      <c r="H368" s="31" t="n"/>
      <c r="I368" s="31" t="n"/>
      <c r="J368" s="31" t="n"/>
      <c r="K368" s="31" t="n"/>
    </row>
    <row r="369" ht="24" customHeight="1">
      <c r="A369" s="31" t="inlineStr">
        <is>
          <t>P030</t>
        </is>
      </c>
      <c r="B369" s="31" t="inlineStr">
        <is>
          <t>SP</t>
        </is>
      </c>
      <c r="C369" s="36">
        <f>AVERAGE(D269:D271)</f>
        <v/>
      </c>
      <c r="D369" s="36">
        <f>AVERAGE(E269:E271)</f>
        <v/>
      </c>
      <c r="E369" s="36">
        <f>0.5*C369/$B$376+0.5*D369/$B$377</f>
        <v/>
      </c>
      <c r="F369" s="36">
        <f>MIN(E369:E371)</f>
        <v/>
      </c>
      <c r="G369" s="36">
        <f>E369-F369</f>
        <v/>
      </c>
      <c r="H369" s="31" t="n"/>
      <c r="I369" s="31" t="n"/>
      <c r="J369" s="31" t="n"/>
      <c r="K369" s="31" t="n"/>
    </row>
    <row r="370" ht="24" customHeight="1">
      <c r="A370" s="31" t="inlineStr">
        <is>
          <t>P030</t>
        </is>
      </c>
      <c r="B370" s="31" t="inlineStr">
        <is>
          <t>DTT</t>
        </is>
      </c>
      <c r="C370" s="36">
        <f>AVERAGE(D272:D274)</f>
        <v/>
      </c>
      <c r="D370" s="36">
        <f>AVERAGE(E272:E274)</f>
        <v/>
      </c>
      <c r="E370" s="36">
        <f>0.5*C370/$B$376+0.5*D370/$B$377</f>
        <v/>
      </c>
      <c r="F370" s="36">
        <f>MIN(E369:E371)</f>
        <v/>
      </c>
      <c r="G370" s="36">
        <f>E370-F370</f>
        <v/>
      </c>
      <c r="H370" s="31" t="n"/>
      <c r="I370" s="31" t="n"/>
      <c r="J370" s="31" t="n"/>
      <c r="K370" s="31" t="n"/>
    </row>
    <row r="371" ht="24" customHeight="1">
      <c r="A371" s="31" t="inlineStr">
        <is>
          <t>P030</t>
        </is>
      </c>
      <c r="B371" s="31" t="inlineStr">
        <is>
          <t>TDR</t>
        </is>
      </c>
      <c r="C371" s="36">
        <f>AVERAGE(D275:D277)</f>
        <v/>
      </c>
      <c r="D371" s="36">
        <f>AVERAGE(E275:E277)</f>
        <v/>
      </c>
      <c r="E371" s="36">
        <f>0.5*C371/$B$376+0.5*D371/$B$377</f>
        <v/>
      </c>
      <c r="F371" s="36">
        <f>MIN(E369:E371)</f>
        <v/>
      </c>
      <c r="G371" s="36">
        <f>E371-F371</f>
        <v/>
      </c>
      <c r="H371" s="31" t="n"/>
      <c r="I371" s="31" t="n"/>
      <c r="J371" s="31" t="n"/>
      <c r="K371" s="31" t="n"/>
    </row>
    <row r="372" ht="24" customHeight="1">
      <c r="A372" s="31" t="n"/>
      <c r="B372" s="31" t="n"/>
      <c r="C372" s="31" t="n"/>
      <c r="D372" s="31" t="n"/>
      <c r="E372" s="31" t="n"/>
      <c r="F372" s="31" t="n"/>
      <c r="G372" s="31" t="n"/>
      <c r="H372" s="31" t="n"/>
      <c r="I372" s="31" t="n"/>
      <c r="J372" s="31" t="n"/>
      <c r="K372" s="31" t="n"/>
    </row>
    <row r="373" ht="24" customHeight="1">
      <c r="A373" s="31" t="n"/>
      <c r="B373" s="31" t="n"/>
      <c r="C373" s="31" t="n"/>
      <c r="D373" s="31" t="n"/>
      <c r="E373" s="31" t="n"/>
      <c r="F373" s="31" t="n"/>
      <c r="G373" s="31" t="n"/>
      <c r="H373" s="31" t="n"/>
      <c r="I373" s="31" t="n"/>
      <c r="J373" s="31" t="n"/>
      <c r="K373" s="31" t="n"/>
    </row>
    <row r="374" ht="24" customHeight="1">
      <c r="A374" s="31" t="n"/>
      <c r="B374" s="31" t="n"/>
      <c r="C374" s="31" t="n"/>
      <c r="D374" s="31" t="n"/>
      <c r="E374" s="31" t="n"/>
      <c r="F374" s="31" t="n"/>
      <c r="G374" s="31" t="n"/>
      <c r="H374" s="31" t="n"/>
      <c r="I374" s="31" t="n"/>
      <c r="J374" s="31" t="n"/>
      <c r="K374" s="31" t="n"/>
    </row>
    <row r="375" ht="24" customHeight="1">
      <c r="A375" s="31" t="n"/>
      <c r="B375" s="31" t="n"/>
      <c r="C375" s="31" t="n"/>
      <c r="D375" s="31" t="n"/>
      <c r="E375" s="31" t="n"/>
      <c r="F375" s="31" t="n"/>
      <c r="G375" s="31" t="n"/>
      <c r="H375" s="31" t="n"/>
      <c r="I375" s="31" t="n"/>
      <c r="J375" s="31" t="n"/>
      <c r="K375" s="31" t="n"/>
    </row>
    <row r="376" ht="24" customHeight="1">
      <c r="A376" s="31" t="inlineStr">
        <is>
          <t>Original T reference (s)</t>
        </is>
      </c>
      <c r="B376" s="31" t="n">
        <v>197.8352703975374</v>
      </c>
      <c r="C376" s="31" t="n"/>
      <c r="D376" s="31" t="n"/>
      <c r="E376" s="31" t="n"/>
      <c r="F376" s="31" t="n"/>
      <c r="G376" s="31" t="n"/>
      <c r="H376" s="31" t="n"/>
      <c r="I376" s="31" t="n"/>
      <c r="J376" s="31" t="n"/>
      <c r="K376" s="31" t="n"/>
    </row>
    <row r="377" ht="24" customHeight="1">
      <c r="A377" s="31" t="inlineStr">
        <is>
          <t>Original CO2 reference (g)</t>
        </is>
      </c>
      <c r="B377" s="31" t="n">
        <v>507.302201712899</v>
      </c>
      <c r="C377" s="31" t="n"/>
      <c r="D377" s="31" t="n"/>
      <c r="E377" s="31" t="n"/>
      <c r="F377" s="31" t="n"/>
      <c r="G377" s="31" t="n"/>
      <c r="H377" s="31" t="n"/>
      <c r="I377" s="31" t="n"/>
      <c r="J377" s="31" t="n"/>
      <c r="K377" s="31" t="n"/>
    </row>
    <row r="378" ht="24" customHeight="1">
      <c r="A378" s="31" t="n"/>
      <c r="B378" s="31" t="n"/>
      <c r="C378" s="31" t="n"/>
      <c r="D378" s="31" t="n"/>
      <c r="E378" s="31" t="n"/>
      <c r="F378" s="31" t="n"/>
      <c r="G378" s="31" t="n"/>
      <c r="H378" s="31" t="n"/>
      <c r="I378" s="31" t="n"/>
      <c r="J378" s="31" t="n"/>
      <c r="K378" s="31" t="n"/>
    </row>
    <row r="379" ht="24" customHeight="1">
      <c r="A379" s="31" t="inlineStr">
        <is>
          <t>Original conclusion</t>
        </is>
      </c>
      <c r="B379" s="31" t="inlineStr">
        <is>
          <t>DTT lowest time AND CO2 in all 30 context means. Selector/fixed/oracle all DTT; zero decision headroom.</t>
        </is>
      </c>
      <c r="C379" s="31" t="n"/>
      <c r="D379" s="31" t="n"/>
      <c r="E379" s="31" t="n"/>
      <c r="F379" s="31" t="n"/>
      <c r="G379" s="31" t="n"/>
      <c r="H379" s="31" t="n"/>
      <c r="I379" s="31" t="n"/>
      <c r="J379" s="31" t="n"/>
      <c r="K379" s="31" t="n"/>
    </row>
    <row r="380" ht="24" customHeight="1">
      <c r="A380" s="31" t="n"/>
      <c r="B380" s="31" t="n"/>
      <c r="C380" s="31" t="n"/>
      <c r="D380" s="31" t="n"/>
      <c r="E380" s="31" t="n"/>
      <c r="F380" s="31" t="n"/>
      <c r="G380" s="31" t="n"/>
      <c r="H380" s="31" t="n"/>
      <c r="I380" s="31" t="n"/>
      <c r="J380" s="31" t="n"/>
      <c r="K380" s="31" t="n"/>
    </row>
    <row r="381" ht="24" customHeight="1">
      <c r="A381" s="31" t="inlineStr">
        <is>
          <t>Primary-only statistics</t>
        </is>
      </c>
      <c r="B381" s="31" t="inlineStr">
        <is>
          <t>Existing diagnostics are retained in source files; they do not retroactively replace the pilot decision population.</t>
        </is>
      </c>
      <c r="C381" s="31" t="n"/>
      <c r="D381" s="31" t="n"/>
      <c r="E381" s="31" t="n"/>
      <c r="F381" s="31" t="n"/>
      <c r="G381" s="31" t="n"/>
      <c r="H381" s="31" t="n"/>
      <c r="I381" s="31" t="n"/>
      <c r="J381" s="31" t="n"/>
      <c r="K381" s="31" t="n"/>
    </row>
    <row r="382" ht="24" customHeight="1">
      <c r="A382" s="31" t="n"/>
      <c r="B382" s="31" t="n"/>
      <c r="C382" s="31" t="n"/>
      <c r="D382" s="31" t="n"/>
      <c r="E382" s="31" t="n"/>
      <c r="F382" s="31" t="n"/>
      <c r="G382" s="31" t="n"/>
      <c r="H382" s="31" t="n"/>
      <c r="I382" s="31" t="n"/>
      <c r="J382" s="31" t="n"/>
      <c r="K382" s="31" t="n"/>
    </row>
    <row r="383" ht="24" customHeight="1">
      <c r="A383" s="31" t="n"/>
      <c r="B383" s="31" t="n"/>
      <c r="C383" s="31" t="n"/>
      <c r="D383" s="31" t="n"/>
      <c r="E383" s="31" t="n"/>
      <c r="F383" s="31" t="n"/>
      <c r="G383" s="31" t="n"/>
      <c r="H383" s="31" t="n"/>
      <c r="I383" s="31" t="n"/>
      <c r="J383" s="31" t="n"/>
      <c r="K383" s="31" t="n"/>
    </row>
    <row r="384" ht="24" customHeight="1">
      <c r="A384" s="31" t="n"/>
      <c r="B384" s="31" t="n"/>
      <c r="C384" s="31" t="n"/>
      <c r="D384" s="31" t="n"/>
      <c r="E384" s="31" t="n"/>
      <c r="F384" s="31" t="n"/>
      <c r="G384" s="31" t="n"/>
      <c r="H384" s="31" t="n"/>
      <c r="I384" s="31" t="n"/>
      <c r="J384" s="31" t="n"/>
      <c r="K384" s="31" t="n"/>
    </row>
    <row r="385" ht="24" customHeight="1">
      <c r="A385" s="31" t="n"/>
      <c r="B385" s="31" t="n"/>
      <c r="C385" s="31" t="n"/>
      <c r="D385" s="31" t="n"/>
      <c r="E385" s="31" t="n"/>
      <c r="F385" s="31" t="n"/>
      <c r="G385" s="31" t="n"/>
      <c r="H385" s="31" t="n"/>
      <c r="I385" s="31" t="n"/>
      <c r="J385" s="31" t="n"/>
      <c r="K385" s="31" t="n"/>
    </row>
    <row r="386" ht="24" customHeight="1">
      <c r="A386" s="31" t="n"/>
      <c r="B386" s="31" t="n"/>
      <c r="C386" s="31" t="n"/>
      <c r="D386" s="31" t="n"/>
      <c r="E386" s="31" t="n"/>
      <c r="F386" s="31" t="n"/>
      <c r="G386" s="31" t="n"/>
      <c r="H386" s="31" t="n"/>
      <c r="I386" s="31" t="n"/>
      <c r="J386" s="31" t="n"/>
      <c r="K386" s="31" t="n"/>
    </row>
    <row r="387" ht="24" customHeight="1">
      <c r="A387" s="31" t="n"/>
      <c r="B387" s="31" t="n"/>
      <c r="C387" s="31" t="n"/>
      <c r="D387" s="31" t="n"/>
      <c r="E387" s="31" t="n"/>
      <c r="F387" s="31" t="n"/>
      <c r="G387" s="31" t="n"/>
      <c r="H387" s="31" t="n"/>
      <c r="I387" s="31" t="n"/>
      <c r="J387" s="31" t="n"/>
      <c r="K387" s="31" t="n"/>
    </row>
    <row r="388" ht="24" customHeight="1">
      <c r="A388" s="31" t="n"/>
      <c r="B388" s="31" t="n"/>
      <c r="C388" s="31" t="n"/>
      <c r="D388" s="31" t="n"/>
      <c r="E388" s="31" t="n"/>
      <c r="F388" s="31" t="n"/>
      <c r="G388" s="31" t="n"/>
      <c r="H388" s="31" t="n"/>
      <c r="I388" s="31" t="n"/>
      <c r="J388" s="31" t="n"/>
      <c r="K388" s="31" t="n"/>
    </row>
    <row r="389" ht="24" customHeight="1">
      <c r="A389" s="31" t="n"/>
      <c r="B389" s="31" t="n"/>
      <c r="C389" s="31" t="n"/>
      <c r="D389" s="31" t="n"/>
      <c r="E389" s="31" t="n"/>
      <c r="F389" s="31" t="n"/>
      <c r="G389" s="31" t="n"/>
      <c r="H389" s="31" t="n"/>
      <c r="I389" s="31" t="n"/>
      <c r="J389" s="31" t="n"/>
      <c r="K389" s="31" t="n"/>
    </row>
    <row r="390" ht="24" customHeight="1">
      <c r="A390" s="31" t="n"/>
      <c r="B390" s="31" t="n"/>
      <c r="C390" s="31" t="n"/>
      <c r="D390" s="31" t="n"/>
      <c r="E390" s="31" t="n"/>
      <c r="F390" s="31" t="n"/>
      <c r="G390" s="31" t="n"/>
      <c r="H390" s="31" t="n"/>
      <c r="I390" s="31" t="n"/>
      <c r="J390" s="31" t="n"/>
      <c r="K390" s="31" t="n"/>
    </row>
    <row r="391" ht="24" customHeight="1">
      <c r="A391" s="31" t="n"/>
      <c r="B391" s="31" t="n"/>
      <c r="C391" s="31" t="n"/>
      <c r="D391" s="31" t="n"/>
      <c r="E391" s="31" t="n"/>
      <c r="F391" s="31" t="n"/>
      <c r="G391" s="31" t="n"/>
      <c r="H391" s="31" t="n"/>
      <c r="I391" s="31" t="n"/>
      <c r="J391" s="31" t="n"/>
      <c r="K391" s="31" t="n"/>
    </row>
    <row r="392" ht="24" customHeight="1">
      <c r="A392" s="31" t="n"/>
      <c r="B392" s="31" t="n"/>
      <c r="C392" s="31" t="n"/>
      <c r="D392" s="31" t="n"/>
      <c r="E392" s="31" t="n"/>
      <c r="F392" s="31" t="n"/>
      <c r="G392" s="31" t="n"/>
      <c r="H392" s="31" t="n"/>
      <c r="I392" s="31" t="n"/>
      <c r="J392" s="31" t="n"/>
      <c r="K392" s="31" t="n"/>
    </row>
    <row r="393" ht="24" customHeight="1">
      <c r="A393" s="31" t="n"/>
      <c r="B393" s="31" t="n"/>
      <c r="C393" s="31" t="n"/>
      <c r="D393" s="31" t="n"/>
      <c r="E393" s="31" t="n"/>
      <c r="F393" s="31" t="n"/>
      <c r="G393" s="31" t="n"/>
      <c r="H393" s="31" t="n"/>
      <c r="I393" s="31" t="n"/>
      <c r="J393" s="31" t="n"/>
      <c r="K393" s="31" t="n"/>
    </row>
    <row r="394" ht="24" customHeight="1">
      <c r="A394" s="31" t="n"/>
      <c r="B394" s="31" t="n"/>
      <c r="C394" s="31" t="n"/>
      <c r="D394" s="31" t="n"/>
      <c r="E394" s="31" t="n"/>
      <c r="F394" s="31" t="n"/>
      <c r="G394" s="31" t="n"/>
      <c r="H394" s="31" t="n"/>
      <c r="I394" s="31" t="n"/>
      <c r="J394" s="31" t="n"/>
      <c r="K394" s="31" t="n"/>
    </row>
    <row r="395" ht="24" customHeight="1">
      <c r="A395" s="31" t="n"/>
      <c r="B395" s="31" t="n"/>
      <c r="C395" s="31" t="n"/>
      <c r="D395" s="31" t="n"/>
      <c r="E395" s="31" t="n"/>
      <c r="F395" s="31" t="n"/>
      <c r="G395" s="31" t="n"/>
      <c r="H395" s="31" t="n"/>
      <c r="I395" s="31" t="n"/>
      <c r="J395" s="31" t="n"/>
      <c r="K395" s="31" t="n"/>
    </row>
    <row r="396" ht="24" customHeight="1">
      <c r="A396" s="31" t="n"/>
      <c r="B396" s="31" t="n"/>
      <c r="C396" s="31" t="n"/>
      <c r="D396" s="31" t="n"/>
      <c r="E396" s="31" t="n"/>
      <c r="F396" s="31" t="n"/>
      <c r="G396" s="31" t="n"/>
      <c r="H396" s="31" t="n"/>
      <c r="I396" s="31" t="n"/>
      <c r="J396" s="31" t="n"/>
      <c r="K396" s="31" t="n"/>
    </row>
    <row r="397" ht="24" customHeight="1">
      <c r="A397" s="31" t="n"/>
      <c r="B397" s="31" t="n"/>
      <c r="C397" s="31" t="n"/>
      <c r="D397" s="31" t="n"/>
      <c r="E397" s="31" t="n"/>
      <c r="F397" s="31" t="n"/>
      <c r="G397" s="31" t="n"/>
      <c r="H397" s="31" t="n"/>
      <c r="I397" s="31" t="n"/>
      <c r="J397" s="31" t="n"/>
      <c r="K397" s="31" t="n"/>
    </row>
    <row r="398" ht="24" customHeight="1">
      <c r="A398" s="31" t="n"/>
      <c r="B398" s="31" t="n"/>
      <c r="C398" s="31" t="n"/>
      <c r="D398" s="31" t="n"/>
      <c r="E398" s="31" t="n"/>
      <c r="F398" s="31" t="n"/>
      <c r="G398" s="31" t="n"/>
      <c r="H398" s="31" t="n"/>
      <c r="I398" s="31" t="n"/>
      <c r="J398" s="31" t="n"/>
      <c r="K398" s="31" t="n"/>
    </row>
    <row r="399" ht="24" customHeight="1">
      <c r="A399" s="31" t="n"/>
      <c r="B399" s="31" t="n"/>
      <c r="C399" s="31" t="n"/>
      <c r="D399" s="31" t="n"/>
      <c r="E399" s="31" t="n"/>
      <c r="F399" s="31" t="n"/>
      <c r="G399" s="31" t="n"/>
      <c r="H399" s="31" t="n"/>
      <c r="I399" s="31" t="n"/>
      <c r="J399" s="31" t="n"/>
      <c r="K399" s="31" t="n"/>
    </row>
    <row r="400" ht="24" customHeight="1">
      <c r="A400" s="31" t="n"/>
      <c r="B400" s="31" t="n"/>
      <c r="C400" s="31" t="n"/>
      <c r="D400" s="31" t="n"/>
      <c r="E400" s="31" t="n"/>
      <c r="F400" s="31" t="n"/>
      <c r="G400" s="31" t="n"/>
      <c r="H400" s="31" t="n"/>
      <c r="I400" s="31" t="n"/>
      <c r="J400" s="31" t="n"/>
      <c r="K400" s="31" t="n"/>
    </row>
    <row r="401" ht="24" customHeight="1">
      <c r="A401" s="31" t="n"/>
      <c r="B401" s="31" t="n"/>
      <c r="C401" s="31" t="n"/>
      <c r="D401" s="31" t="n"/>
      <c r="E401" s="31" t="n"/>
      <c r="F401" s="31" t="n"/>
      <c r="G401" s="31" t="n"/>
      <c r="H401" s="31" t="n"/>
      <c r="I401" s="31" t="n"/>
      <c r="J401" s="31" t="n"/>
      <c r="K401" s="31" t="n"/>
    </row>
    <row r="402" ht="24" customHeight="1">
      <c r="A402" s="31" t="n"/>
      <c r="B402" s="31" t="n"/>
      <c r="C402" s="31" t="n"/>
      <c r="D402" s="31" t="n"/>
      <c r="E402" s="31" t="n"/>
      <c r="F402" s="31" t="n"/>
      <c r="G402" s="31" t="n"/>
      <c r="H402" s="31" t="n"/>
      <c r="I402" s="31" t="n"/>
      <c r="J402" s="31" t="n"/>
      <c r="K402" s="31" t="n"/>
    </row>
    <row r="403" ht="24" customHeight="1">
      <c r="A403" s="31" t="n"/>
      <c r="B403" s="31" t="n"/>
      <c r="C403" s="31" t="n"/>
      <c r="D403" s="31" t="n"/>
      <c r="E403" s="31" t="n"/>
      <c r="F403" s="31" t="n"/>
      <c r="G403" s="31" t="n"/>
      <c r="H403" s="31" t="n"/>
      <c r="I403" s="31" t="n"/>
      <c r="J403" s="31" t="n"/>
      <c r="K403" s="31" t="n"/>
    </row>
    <row r="404" ht="24" customHeight="1">
      <c r="A404" s="31" t="n"/>
      <c r="B404" s="31" t="n"/>
      <c r="C404" s="31" t="n"/>
      <c r="D404" s="31" t="n"/>
      <c r="E404" s="31" t="n"/>
      <c r="F404" s="31" t="n"/>
      <c r="G404" s="31" t="n"/>
      <c r="H404" s="31" t="n"/>
      <c r="I404" s="31" t="n"/>
      <c r="J404" s="31" t="n"/>
      <c r="K404" s="31" t="n"/>
    </row>
    <row r="405" ht="24" customHeight="1">
      <c r="A405" s="31" t="n"/>
      <c r="B405" s="31" t="n"/>
      <c r="C405" s="31" t="n"/>
      <c r="D405" s="31" t="n"/>
      <c r="E405" s="31" t="n"/>
      <c r="F405" s="31" t="n"/>
      <c r="G405" s="31" t="n"/>
      <c r="H405" s="31" t="n"/>
      <c r="I405" s="31" t="n"/>
      <c r="J405" s="31" t="n"/>
      <c r="K405" s="3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57"/>
  <sheetViews>
    <sheetView showGridLines="0" workbookViewId="0">
      <pane xSplit="1" ySplit="7" topLeftCell="B8" activePane="bottomRight" state="frozen"/>
      <selection activeCell="A1" sqref="A1"/>
    </sheetView>
  </sheetViews>
  <sheetFormatPr baseColWidth="8" defaultRowHeight="15"/>
  <cols>
    <col width="31" customWidth="1" min="1" max="1"/>
    <col width="18" customWidth="1" min="2" max="2"/>
    <col width="20" customWidth="1" min="3" max="3"/>
    <col width="24" customWidth="1" min="4" max="4"/>
    <col width="24" customWidth="1" min="5" max="5"/>
    <col width="22" customWidth="1" min="6" max="6"/>
    <col width="25" customWidth="1" min="7" max="7"/>
    <col width="22" customWidth="1" min="8" max="8"/>
    <col width="20" customWidth="1" min="9" max="9"/>
    <col width="24" customWidth="1" min="10" max="10"/>
    <col width="24" customWidth="1" min="11" max="11"/>
    <col width="28" customWidth="1" min="12" max="12"/>
    <col width="24" customWidth="1" min="13" max="13"/>
    <col width="28" customWidth="1" min="14" max="14"/>
    <col width="34" customWidth="1" min="15" max="15"/>
    <col width="20" customWidth="1" min="16" max="16"/>
  </cols>
  <sheetData>
    <row r="1" ht="24" customHeight="1">
      <c r="A1" s="31" t="n"/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1" t="n"/>
      <c r="P1" s="31" t="n"/>
    </row>
    <row r="2" ht="24" customHeight="1">
      <c r="A2" s="3" t="inlineStr">
        <is>
          <t>Equal-repetition means; future main results absent</t>
        </is>
      </c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</row>
    <row r="3" ht="24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</row>
    <row r="4" ht="24" customHeight="1">
      <c r="A4" s="4" t="inlineStr">
        <is>
          <t>144 development context-setting means calculated from 432 runs. 24 contexts, not 432 independent ML instances.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</row>
    <row r="5" ht="24" customHeight="1">
      <c r="A5" s="31" t="n"/>
      <c r="B5" s="31" t="n"/>
      <c r="C5" s="31" t="n"/>
      <c r="D5" s="31" t="n"/>
      <c r="E5" s="3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</row>
    <row r="6" ht="24" customHeight="1">
      <c r="A6" s="31" t="n"/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  <c r="M6" s="31" t="n"/>
      <c r="N6" s="31" t="n"/>
      <c r="O6" s="31" t="n"/>
      <c r="P6" s="31" t="n"/>
    </row>
    <row r="7" ht="38" customHeight="1">
      <c r="A7" s="7" t="inlineStr">
        <is>
          <t>Lookup key</t>
        </is>
      </c>
      <c r="B7" s="7" t="inlineStr">
        <is>
          <t>Context</t>
        </is>
      </c>
      <c r="C7" s="7" t="inlineStr">
        <is>
          <t>Setting</t>
        </is>
      </c>
      <c r="D7" s="7" t="inlineStr">
        <is>
          <t>Mean journey (s)</t>
        </is>
      </c>
      <c r="E7" s="7" t="inlineStr">
        <is>
          <t>CO2 (g/veh)</t>
        </is>
      </c>
      <c r="F7" s="7" t="inlineStr">
        <is>
          <t>Distance (m)</t>
        </is>
      </c>
      <c r="G7" s="7" t="inlineStr">
        <is>
          <t>P95 journey (s)</t>
        </is>
      </c>
      <c r="H7" s="7" t="inlineStr">
        <is>
          <t>Core portfolio?</t>
        </is>
      </c>
      <c r="I7" s="7" t="inlineStr">
        <is>
          <t>Replications</t>
        </is>
      </c>
      <c r="J7" s="7" t="inlineStr">
        <is>
          <t>BG journey (s)</t>
        </is>
      </c>
      <c r="K7" s="7" t="inlineStr">
        <is>
          <t>BG CO2 (g/veh)</t>
        </is>
      </c>
      <c r="L7" s="7" t="inlineStr">
        <is>
          <t>Network CO2 (g)</t>
        </is>
      </c>
      <c r="M7" s="7" t="inlineStr">
        <is>
          <t>Insertion (s)</t>
        </is>
      </c>
      <c r="N7" s="7" t="inlineStr">
        <is>
          <t>Mean forecast WAPE</t>
        </is>
      </c>
      <c r="O7" s="7" t="inlineStr">
        <is>
          <t>Status</t>
        </is>
      </c>
      <c r="P7" s="31" t="n"/>
    </row>
    <row r="8" ht="24" customHeight="1">
      <c r="A8" s="31" t="inlineStr">
        <is>
          <t>D001__SP</t>
        </is>
      </c>
      <c r="B8" s="31" t="inlineStr">
        <is>
          <t>D001</t>
        </is>
      </c>
      <c r="C8" s="31" t="inlineStr">
        <is>
          <t>SP</t>
        </is>
      </c>
      <c r="D8" s="47">
        <f>AVERAGE(RAW_PERFORMANCE!F8,RAW_PERFORMANCE!F9,RAW_PERFORMANCE!F10)</f>
        <v/>
      </c>
      <c r="E8" s="47">
        <f>AVERAGE(RAW_PERFORMANCE!G8,RAW_PERFORMANCE!G9,RAW_PERFORMANCE!G10)</f>
        <v/>
      </c>
      <c r="F8" s="47">
        <f>AVERAGE(RAW_PERFORMANCE!H8,RAW_PERFORMANCE!H9,RAW_PERFORMANCE!H10)</f>
        <v/>
      </c>
      <c r="G8" s="47">
        <f>AVERAGE(RAW_PERFORMANCE!I8,RAW_PERFORMANCE!I9,RAW_PERFORMANCE!I10)</f>
        <v/>
      </c>
      <c r="H8" s="48" t="n">
        <v>1</v>
      </c>
      <c r="I8" s="49">
        <f>COUNT(RAW_PERFORMANCE!F8,RAW_PERFORMANCE!F9,RAW_PERFORMANCE!F10)</f>
        <v/>
      </c>
      <c r="J8" s="35">
        <f>AVERAGE(RAW_PERFORMANCE!K8,RAW_PERFORMANCE!K9,RAW_PERFORMANCE!K10)</f>
        <v/>
      </c>
      <c r="K8" s="35">
        <f>AVERAGE(RAW_PERFORMANCE!L8,RAW_PERFORMANCE!L9,RAW_PERFORMANCE!L10)</f>
        <v/>
      </c>
      <c r="L8" s="35">
        <f>AVERAGE(RAW_PERFORMANCE!M8,RAW_PERFORMANCE!M9,RAW_PERFORMANCE!M10)</f>
        <v/>
      </c>
      <c r="M8" s="35">
        <f>AVERAGE(RAW_PERFORMANCE!J8,RAW_PERFORMANCE!J9,RAW_PERFORMANCE!J10)</f>
        <v/>
      </c>
      <c r="N8" s="35">
        <f>AVERAGE(RAW_PERFORMANCE!P8,RAW_PERFORMANCE!P9,RAW_PERFORMANCE!P10)</f>
        <v/>
      </c>
      <c r="O8" s="31" t="inlineStr">
        <is>
          <t>COMPLETED DEVELOPMENT</t>
        </is>
      </c>
      <c r="P8" s="31" t="n"/>
    </row>
    <row r="9" ht="24" customHeight="1">
      <c r="A9" s="31" t="inlineStr">
        <is>
          <t>D001__DTT</t>
        </is>
      </c>
      <c r="B9" s="31" t="inlineStr">
        <is>
          <t>D001</t>
        </is>
      </c>
      <c r="C9" s="31" t="inlineStr">
        <is>
          <t>DTT</t>
        </is>
      </c>
      <c r="D9" s="47">
        <f>AVERAGE(RAW_PERFORMANCE!F11,RAW_PERFORMANCE!F12,RAW_PERFORMANCE!F13)</f>
        <v/>
      </c>
      <c r="E9" s="47">
        <f>AVERAGE(RAW_PERFORMANCE!G11,RAW_PERFORMANCE!G12,RAW_PERFORMANCE!G13)</f>
        <v/>
      </c>
      <c r="F9" s="47">
        <f>AVERAGE(RAW_PERFORMANCE!H11,RAW_PERFORMANCE!H12,RAW_PERFORMANCE!H13)</f>
        <v/>
      </c>
      <c r="G9" s="47">
        <f>AVERAGE(RAW_PERFORMANCE!I11,RAW_PERFORMANCE!I12,RAW_PERFORMANCE!I13)</f>
        <v/>
      </c>
      <c r="H9" s="48" t="n">
        <v>1</v>
      </c>
      <c r="I9" s="49">
        <f>COUNT(RAW_PERFORMANCE!F11,RAW_PERFORMANCE!F12,RAW_PERFORMANCE!F13)</f>
        <v/>
      </c>
      <c r="J9" s="35">
        <f>AVERAGE(RAW_PERFORMANCE!K11,RAW_PERFORMANCE!K12,RAW_PERFORMANCE!K13)</f>
        <v/>
      </c>
      <c r="K9" s="35">
        <f>AVERAGE(RAW_PERFORMANCE!L11,RAW_PERFORMANCE!L12,RAW_PERFORMANCE!L13)</f>
        <v/>
      </c>
      <c r="L9" s="35">
        <f>AVERAGE(RAW_PERFORMANCE!M11,RAW_PERFORMANCE!M12,RAW_PERFORMANCE!M13)</f>
        <v/>
      </c>
      <c r="M9" s="35">
        <f>AVERAGE(RAW_PERFORMANCE!J11,RAW_PERFORMANCE!J12,RAW_PERFORMANCE!J13)</f>
        <v/>
      </c>
      <c r="N9" s="35">
        <f>AVERAGE(RAW_PERFORMANCE!P11,RAW_PERFORMANCE!P12,RAW_PERFORMANCE!P13)</f>
        <v/>
      </c>
      <c r="O9" s="31" t="inlineStr">
        <is>
          <t>COMPLETED DEVELOPMENT</t>
        </is>
      </c>
      <c r="P9" s="31" t="n"/>
    </row>
    <row r="10" ht="24" customHeight="1">
      <c r="A10" s="31" t="inlineStr">
        <is>
          <t>D001__ECO</t>
        </is>
      </c>
      <c r="B10" s="31" t="inlineStr">
        <is>
          <t>D001</t>
        </is>
      </c>
      <c r="C10" s="31" t="inlineStr">
        <is>
          <t>ECO</t>
        </is>
      </c>
      <c r="D10" s="47">
        <f>AVERAGE(RAW_PERFORMANCE!F14,RAW_PERFORMANCE!F15,RAW_PERFORMANCE!F16)</f>
        <v/>
      </c>
      <c r="E10" s="47">
        <f>AVERAGE(RAW_PERFORMANCE!G14,RAW_PERFORMANCE!G15,RAW_PERFORMANCE!G16)</f>
        <v/>
      </c>
      <c r="F10" s="47">
        <f>AVERAGE(RAW_PERFORMANCE!H14,RAW_PERFORMANCE!H15,RAW_PERFORMANCE!H16)</f>
        <v/>
      </c>
      <c r="G10" s="47">
        <f>AVERAGE(RAW_PERFORMANCE!I14,RAW_PERFORMANCE!I15,RAW_PERFORMANCE!I16)</f>
        <v/>
      </c>
      <c r="H10" s="48" t="n">
        <v>1</v>
      </c>
      <c r="I10" s="49">
        <f>COUNT(RAW_PERFORMANCE!F14,RAW_PERFORMANCE!F15,RAW_PERFORMANCE!F16)</f>
        <v/>
      </c>
      <c r="J10" s="35">
        <f>AVERAGE(RAW_PERFORMANCE!K14,RAW_PERFORMANCE!K15,RAW_PERFORMANCE!K16)</f>
        <v/>
      </c>
      <c r="K10" s="35">
        <f>AVERAGE(RAW_PERFORMANCE!L14,RAW_PERFORMANCE!L15,RAW_PERFORMANCE!L16)</f>
        <v/>
      </c>
      <c r="L10" s="35">
        <f>AVERAGE(RAW_PERFORMANCE!M14,RAW_PERFORMANCE!M15,RAW_PERFORMANCE!M16)</f>
        <v/>
      </c>
      <c r="M10" s="35">
        <f>AVERAGE(RAW_PERFORMANCE!J14,RAW_PERFORMANCE!J15,RAW_PERFORMANCE!J16)</f>
        <v/>
      </c>
      <c r="N10" s="35">
        <f>AVERAGE(RAW_PERFORMANCE!P14,RAW_PERFORMANCE!P15,RAW_PERFORMANCE!P16)</f>
        <v/>
      </c>
      <c r="O10" s="31" t="inlineStr">
        <is>
          <t>COMPLETED DEVELOPMENT</t>
        </is>
      </c>
      <c r="P10" s="31" t="n"/>
    </row>
    <row r="11" ht="24" customHeight="1">
      <c r="A11" s="31" t="inlineStr">
        <is>
          <t>D001__TECO05</t>
        </is>
      </c>
      <c r="B11" s="31" t="inlineStr">
        <is>
          <t>D001</t>
        </is>
      </c>
      <c r="C11" s="31" t="inlineStr">
        <is>
          <t>TECO05</t>
        </is>
      </c>
      <c r="D11" s="47">
        <f>AVERAGE(RAW_PERFORMANCE!F17,RAW_PERFORMANCE!F18,RAW_PERFORMANCE!F19)</f>
        <v/>
      </c>
      <c r="E11" s="47">
        <f>AVERAGE(RAW_PERFORMANCE!G17,RAW_PERFORMANCE!G18,RAW_PERFORMANCE!G19)</f>
        <v/>
      </c>
      <c r="F11" s="47">
        <f>AVERAGE(RAW_PERFORMANCE!H17,RAW_PERFORMANCE!H18,RAW_PERFORMANCE!H19)</f>
        <v/>
      </c>
      <c r="G11" s="47">
        <f>AVERAGE(RAW_PERFORMANCE!I17,RAW_PERFORMANCE!I18,RAW_PERFORMANCE!I19)</f>
        <v/>
      </c>
      <c r="H11" s="48" t="n">
        <v>0</v>
      </c>
      <c r="I11" s="49">
        <f>COUNT(RAW_PERFORMANCE!F17,RAW_PERFORMANCE!F18,RAW_PERFORMANCE!F19)</f>
        <v/>
      </c>
      <c r="J11" s="35">
        <f>AVERAGE(RAW_PERFORMANCE!K17,RAW_PERFORMANCE!K18,RAW_PERFORMANCE!K19)</f>
        <v/>
      </c>
      <c r="K11" s="35">
        <f>AVERAGE(RAW_PERFORMANCE!L17,RAW_PERFORMANCE!L18,RAW_PERFORMANCE!L19)</f>
        <v/>
      </c>
      <c r="L11" s="35">
        <f>AVERAGE(RAW_PERFORMANCE!M17,RAW_PERFORMANCE!M18,RAW_PERFORMANCE!M19)</f>
        <v/>
      </c>
      <c r="M11" s="35">
        <f>AVERAGE(RAW_PERFORMANCE!J17,RAW_PERFORMANCE!J18,RAW_PERFORMANCE!J19)</f>
        <v/>
      </c>
      <c r="N11" s="35">
        <f>AVERAGE(RAW_PERFORMANCE!P17,RAW_PERFORMANCE!P18,RAW_PERFORMANCE!P19)</f>
        <v/>
      </c>
      <c r="O11" s="31" t="inlineStr">
        <is>
          <t>COMPLETED DEVELOPMENT</t>
        </is>
      </c>
      <c r="P11" s="31" t="n"/>
    </row>
    <row r="12" ht="24" customHeight="1">
      <c r="A12" s="31" t="inlineStr">
        <is>
          <t>D001__TECO10</t>
        </is>
      </c>
      <c r="B12" s="31" t="inlineStr">
        <is>
          <t>D001</t>
        </is>
      </c>
      <c r="C12" s="31" t="inlineStr">
        <is>
          <t>TECO10</t>
        </is>
      </c>
      <c r="D12" s="47">
        <f>AVERAGE(RAW_PERFORMANCE!F20,RAW_PERFORMANCE!F21,RAW_PERFORMANCE!F22)</f>
        <v/>
      </c>
      <c r="E12" s="47">
        <f>AVERAGE(RAW_PERFORMANCE!G20,RAW_PERFORMANCE!G21,RAW_PERFORMANCE!G22)</f>
        <v/>
      </c>
      <c r="F12" s="47">
        <f>AVERAGE(RAW_PERFORMANCE!H20,RAW_PERFORMANCE!H21,RAW_PERFORMANCE!H22)</f>
        <v/>
      </c>
      <c r="G12" s="47">
        <f>AVERAGE(RAW_PERFORMANCE!I20,RAW_PERFORMANCE!I21,RAW_PERFORMANCE!I22)</f>
        <v/>
      </c>
      <c r="H12" s="48" t="n">
        <v>1</v>
      </c>
      <c r="I12" s="49">
        <f>COUNT(RAW_PERFORMANCE!F20,RAW_PERFORMANCE!F21,RAW_PERFORMANCE!F22)</f>
        <v/>
      </c>
      <c r="J12" s="35">
        <f>AVERAGE(RAW_PERFORMANCE!K20,RAW_PERFORMANCE!K21,RAW_PERFORMANCE!K22)</f>
        <v/>
      </c>
      <c r="K12" s="35">
        <f>AVERAGE(RAW_PERFORMANCE!L20,RAW_PERFORMANCE!L21,RAW_PERFORMANCE!L22)</f>
        <v/>
      </c>
      <c r="L12" s="35">
        <f>AVERAGE(RAW_PERFORMANCE!M20,RAW_PERFORMANCE!M21,RAW_PERFORMANCE!M22)</f>
        <v/>
      </c>
      <c r="M12" s="35">
        <f>AVERAGE(RAW_PERFORMANCE!J20,RAW_PERFORMANCE!J21,RAW_PERFORMANCE!J22)</f>
        <v/>
      </c>
      <c r="N12" s="35">
        <f>AVERAGE(RAW_PERFORMANCE!P20,RAW_PERFORMANCE!P21,RAW_PERFORMANCE!P22)</f>
        <v/>
      </c>
      <c r="O12" s="31" t="inlineStr">
        <is>
          <t>COMPLETED DEVELOPMENT</t>
        </is>
      </c>
      <c r="P12" s="31" t="n"/>
    </row>
    <row r="13" ht="24" customHeight="1">
      <c r="A13" s="31" t="inlineStr">
        <is>
          <t>D001__TECO15</t>
        </is>
      </c>
      <c r="B13" s="31" t="inlineStr">
        <is>
          <t>D001</t>
        </is>
      </c>
      <c r="C13" s="31" t="inlineStr">
        <is>
          <t>TECO15</t>
        </is>
      </c>
      <c r="D13" s="47">
        <f>AVERAGE(RAW_PERFORMANCE!F23,RAW_PERFORMANCE!F24,RAW_PERFORMANCE!F25)</f>
        <v/>
      </c>
      <c r="E13" s="47">
        <f>AVERAGE(RAW_PERFORMANCE!G23,RAW_PERFORMANCE!G24,RAW_PERFORMANCE!G25)</f>
        <v/>
      </c>
      <c r="F13" s="47">
        <f>AVERAGE(RAW_PERFORMANCE!H23,RAW_PERFORMANCE!H24,RAW_PERFORMANCE!H25)</f>
        <v/>
      </c>
      <c r="G13" s="47">
        <f>AVERAGE(RAW_PERFORMANCE!I23,RAW_PERFORMANCE!I24,RAW_PERFORMANCE!I25)</f>
        <v/>
      </c>
      <c r="H13" s="48" t="n">
        <v>0</v>
      </c>
      <c r="I13" s="49">
        <f>COUNT(RAW_PERFORMANCE!F23,RAW_PERFORMANCE!F24,RAW_PERFORMANCE!F25)</f>
        <v/>
      </c>
      <c r="J13" s="35">
        <f>AVERAGE(RAW_PERFORMANCE!K23,RAW_PERFORMANCE!K24,RAW_PERFORMANCE!K25)</f>
        <v/>
      </c>
      <c r="K13" s="35">
        <f>AVERAGE(RAW_PERFORMANCE!L23,RAW_PERFORMANCE!L24,RAW_PERFORMANCE!L25)</f>
        <v/>
      </c>
      <c r="L13" s="35">
        <f>AVERAGE(RAW_PERFORMANCE!M23,RAW_PERFORMANCE!M24,RAW_PERFORMANCE!M25)</f>
        <v/>
      </c>
      <c r="M13" s="35">
        <f>AVERAGE(RAW_PERFORMANCE!J23,RAW_PERFORMANCE!J24,RAW_PERFORMANCE!J25)</f>
        <v/>
      </c>
      <c r="N13" s="35">
        <f>AVERAGE(RAW_PERFORMANCE!P23,RAW_PERFORMANCE!P24,RAW_PERFORMANCE!P25)</f>
        <v/>
      </c>
      <c r="O13" s="31" t="inlineStr">
        <is>
          <t>COMPLETED DEVELOPMENT</t>
        </is>
      </c>
      <c r="P13" s="31" t="n"/>
    </row>
    <row r="14" ht="24" customHeight="1">
      <c r="A14" s="31" t="inlineStr">
        <is>
          <t>D002__SP</t>
        </is>
      </c>
      <c r="B14" s="31" t="inlineStr">
        <is>
          <t>D002</t>
        </is>
      </c>
      <c r="C14" s="31" t="inlineStr">
        <is>
          <t>SP</t>
        </is>
      </c>
      <c r="D14" s="47">
        <f>AVERAGE(RAW_PERFORMANCE!F26,RAW_PERFORMANCE!F27,RAW_PERFORMANCE!F28)</f>
        <v/>
      </c>
      <c r="E14" s="47">
        <f>AVERAGE(RAW_PERFORMANCE!G26,RAW_PERFORMANCE!G27,RAW_PERFORMANCE!G28)</f>
        <v/>
      </c>
      <c r="F14" s="47">
        <f>AVERAGE(RAW_PERFORMANCE!H26,RAW_PERFORMANCE!H27,RAW_PERFORMANCE!H28)</f>
        <v/>
      </c>
      <c r="G14" s="47">
        <f>AVERAGE(RAW_PERFORMANCE!I26,RAW_PERFORMANCE!I27,RAW_PERFORMANCE!I28)</f>
        <v/>
      </c>
      <c r="H14" s="48" t="n">
        <v>1</v>
      </c>
      <c r="I14" s="49">
        <f>COUNT(RAW_PERFORMANCE!F26,RAW_PERFORMANCE!F27,RAW_PERFORMANCE!F28)</f>
        <v/>
      </c>
      <c r="J14" s="35">
        <f>AVERAGE(RAW_PERFORMANCE!K26,RAW_PERFORMANCE!K27,RAW_PERFORMANCE!K28)</f>
        <v/>
      </c>
      <c r="K14" s="35">
        <f>AVERAGE(RAW_PERFORMANCE!L26,RAW_PERFORMANCE!L27,RAW_PERFORMANCE!L28)</f>
        <v/>
      </c>
      <c r="L14" s="35">
        <f>AVERAGE(RAW_PERFORMANCE!M26,RAW_PERFORMANCE!M27,RAW_PERFORMANCE!M28)</f>
        <v/>
      </c>
      <c r="M14" s="35">
        <f>AVERAGE(RAW_PERFORMANCE!J26,RAW_PERFORMANCE!J27,RAW_PERFORMANCE!J28)</f>
        <v/>
      </c>
      <c r="N14" s="35">
        <f>AVERAGE(RAW_PERFORMANCE!P26,RAW_PERFORMANCE!P27,RAW_PERFORMANCE!P28)</f>
        <v/>
      </c>
      <c r="O14" s="31" t="inlineStr">
        <is>
          <t>COMPLETED DEVELOPMENT</t>
        </is>
      </c>
      <c r="P14" s="31" t="n"/>
    </row>
    <row r="15" ht="24" customHeight="1">
      <c r="A15" s="31" t="inlineStr">
        <is>
          <t>D002__DTT</t>
        </is>
      </c>
      <c r="B15" s="31" t="inlineStr">
        <is>
          <t>D002</t>
        </is>
      </c>
      <c r="C15" s="31" t="inlineStr">
        <is>
          <t>DTT</t>
        </is>
      </c>
      <c r="D15" s="47">
        <f>AVERAGE(RAW_PERFORMANCE!F29,RAW_PERFORMANCE!F30,RAW_PERFORMANCE!F31)</f>
        <v/>
      </c>
      <c r="E15" s="47">
        <f>AVERAGE(RAW_PERFORMANCE!G29,RAW_PERFORMANCE!G30,RAW_PERFORMANCE!G31)</f>
        <v/>
      </c>
      <c r="F15" s="47">
        <f>AVERAGE(RAW_PERFORMANCE!H29,RAW_PERFORMANCE!H30,RAW_PERFORMANCE!H31)</f>
        <v/>
      </c>
      <c r="G15" s="47">
        <f>AVERAGE(RAW_PERFORMANCE!I29,RAW_PERFORMANCE!I30,RAW_PERFORMANCE!I31)</f>
        <v/>
      </c>
      <c r="H15" s="48" t="n">
        <v>1</v>
      </c>
      <c r="I15" s="49">
        <f>COUNT(RAW_PERFORMANCE!F29,RAW_PERFORMANCE!F30,RAW_PERFORMANCE!F31)</f>
        <v/>
      </c>
      <c r="J15" s="35">
        <f>AVERAGE(RAW_PERFORMANCE!K29,RAW_PERFORMANCE!K30,RAW_PERFORMANCE!K31)</f>
        <v/>
      </c>
      <c r="K15" s="35">
        <f>AVERAGE(RAW_PERFORMANCE!L29,RAW_PERFORMANCE!L30,RAW_PERFORMANCE!L31)</f>
        <v/>
      </c>
      <c r="L15" s="35">
        <f>AVERAGE(RAW_PERFORMANCE!M29,RAW_PERFORMANCE!M30,RAW_PERFORMANCE!M31)</f>
        <v/>
      </c>
      <c r="M15" s="35">
        <f>AVERAGE(RAW_PERFORMANCE!J29,RAW_PERFORMANCE!J30,RAW_PERFORMANCE!J31)</f>
        <v/>
      </c>
      <c r="N15" s="35">
        <f>AVERAGE(RAW_PERFORMANCE!P29,RAW_PERFORMANCE!P30,RAW_PERFORMANCE!P31)</f>
        <v/>
      </c>
      <c r="O15" s="31" t="inlineStr">
        <is>
          <t>COMPLETED DEVELOPMENT</t>
        </is>
      </c>
      <c r="P15" s="31" t="n"/>
    </row>
    <row r="16" ht="24" customHeight="1">
      <c r="A16" s="31" t="inlineStr">
        <is>
          <t>D002__ECO</t>
        </is>
      </c>
      <c r="B16" s="31" t="inlineStr">
        <is>
          <t>D002</t>
        </is>
      </c>
      <c r="C16" s="31" t="inlineStr">
        <is>
          <t>ECO</t>
        </is>
      </c>
      <c r="D16" s="47">
        <f>AVERAGE(RAW_PERFORMANCE!F32,RAW_PERFORMANCE!F33,RAW_PERFORMANCE!F34)</f>
        <v/>
      </c>
      <c r="E16" s="47">
        <f>AVERAGE(RAW_PERFORMANCE!G32,RAW_PERFORMANCE!G33,RAW_PERFORMANCE!G34)</f>
        <v/>
      </c>
      <c r="F16" s="47">
        <f>AVERAGE(RAW_PERFORMANCE!H32,RAW_PERFORMANCE!H33,RAW_PERFORMANCE!H34)</f>
        <v/>
      </c>
      <c r="G16" s="47">
        <f>AVERAGE(RAW_PERFORMANCE!I32,RAW_PERFORMANCE!I33,RAW_PERFORMANCE!I34)</f>
        <v/>
      </c>
      <c r="H16" s="48" t="n">
        <v>1</v>
      </c>
      <c r="I16" s="49">
        <f>COUNT(RAW_PERFORMANCE!F32,RAW_PERFORMANCE!F33,RAW_PERFORMANCE!F34)</f>
        <v/>
      </c>
      <c r="J16" s="35">
        <f>AVERAGE(RAW_PERFORMANCE!K32,RAW_PERFORMANCE!K33,RAW_PERFORMANCE!K34)</f>
        <v/>
      </c>
      <c r="K16" s="35">
        <f>AVERAGE(RAW_PERFORMANCE!L32,RAW_PERFORMANCE!L33,RAW_PERFORMANCE!L34)</f>
        <v/>
      </c>
      <c r="L16" s="35">
        <f>AVERAGE(RAW_PERFORMANCE!M32,RAW_PERFORMANCE!M33,RAW_PERFORMANCE!M34)</f>
        <v/>
      </c>
      <c r="M16" s="35">
        <f>AVERAGE(RAW_PERFORMANCE!J32,RAW_PERFORMANCE!J33,RAW_PERFORMANCE!J34)</f>
        <v/>
      </c>
      <c r="N16" s="35">
        <f>AVERAGE(RAW_PERFORMANCE!P32,RAW_PERFORMANCE!P33,RAW_PERFORMANCE!P34)</f>
        <v/>
      </c>
      <c r="O16" s="31" t="inlineStr">
        <is>
          <t>COMPLETED DEVELOPMENT</t>
        </is>
      </c>
      <c r="P16" s="31" t="n"/>
    </row>
    <row r="17" ht="24" customHeight="1">
      <c r="A17" s="31" t="inlineStr">
        <is>
          <t>D002__TECO05</t>
        </is>
      </c>
      <c r="B17" s="31" t="inlineStr">
        <is>
          <t>D002</t>
        </is>
      </c>
      <c r="C17" s="31" t="inlineStr">
        <is>
          <t>TECO05</t>
        </is>
      </c>
      <c r="D17" s="47">
        <f>AVERAGE(RAW_PERFORMANCE!F35,RAW_PERFORMANCE!F36,RAW_PERFORMANCE!F37)</f>
        <v/>
      </c>
      <c r="E17" s="47">
        <f>AVERAGE(RAW_PERFORMANCE!G35,RAW_PERFORMANCE!G36,RAW_PERFORMANCE!G37)</f>
        <v/>
      </c>
      <c r="F17" s="47">
        <f>AVERAGE(RAW_PERFORMANCE!H35,RAW_PERFORMANCE!H36,RAW_PERFORMANCE!H37)</f>
        <v/>
      </c>
      <c r="G17" s="47">
        <f>AVERAGE(RAW_PERFORMANCE!I35,RAW_PERFORMANCE!I36,RAW_PERFORMANCE!I37)</f>
        <v/>
      </c>
      <c r="H17" s="48" t="n">
        <v>0</v>
      </c>
      <c r="I17" s="49">
        <f>COUNT(RAW_PERFORMANCE!F35,RAW_PERFORMANCE!F36,RAW_PERFORMANCE!F37)</f>
        <v/>
      </c>
      <c r="J17" s="35">
        <f>AVERAGE(RAW_PERFORMANCE!K35,RAW_PERFORMANCE!K36,RAW_PERFORMANCE!K37)</f>
        <v/>
      </c>
      <c r="K17" s="35">
        <f>AVERAGE(RAW_PERFORMANCE!L35,RAW_PERFORMANCE!L36,RAW_PERFORMANCE!L37)</f>
        <v/>
      </c>
      <c r="L17" s="35">
        <f>AVERAGE(RAW_PERFORMANCE!M35,RAW_PERFORMANCE!M36,RAW_PERFORMANCE!M37)</f>
        <v/>
      </c>
      <c r="M17" s="35">
        <f>AVERAGE(RAW_PERFORMANCE!J35,RAW_PERFORMANCE!J36,RAW_PERFORMANCE!J37)</f>
        <v/>
      </c>
      <c r="N17" s="35">
        <f>AVERAGE(RAW_PERFORMANCE!P35,RAW_PERFORMANCE!P36,RAW_PERFORMANCE!P37)</f>
        <v/>
      </c>
      <c r="O17" s="31" t="inlineStr">
        <is>
          <t>COMPLETED DEVELOPMENT</t>
        </is>
      </c>
      <c r="P17" s="31" t="n"/>
    </row>
    <row r="18" ht="24" customHeight="1">
      <c r="A18" s="31" t="inlineStr">
        <is>
          <t>D002__TECO10</t>
        </is>
      </c>
      <c r="B18" s="31" t="inlineStr">
        <is>
          <t>D002</t>
        </is>
      </c>
      <c r="C18" s="31" t="inlineStr">
        <is>
          <t>TECO10</t>
        </is>
      </c>
      <c r="D18" s="47">
        <f>AVERAGE(RAW_PERFORMANCE!F38,RAW_PERFORMANCE!F39,RAW_PERFORMANCE!F40)</f>
        <v/>
      </c>
      <c r="E18" s="47">
        <f>AVERAGE(RAW_PERFORMANCE!G38,RAW_PERFORMANCE!G39,RAW_PERFORMANCE!G40)</f>
        <v/>
      </c>
      <c r="F18" s="47">
        <f>AVERAGE(RAW_PERFORMANCE!H38,RAW_PERFORMANCE!H39,RAW_PERFORMANCE!H40)</f>
        <v/>
      </c>
      <c r="G18" s="47">
        <f>AVERAGE(RAW_PERFORMANCE!I38,RAW_PERFORMANCE!I39,RAW_PERFORMANCE!I40)</f>
        <v/>
      </c>
      <c r="H18" s="48" t="n">
        <v>1</v>
      </c>
      <c r="I18" s="49">
        <f>COUNT(RAW_PERFORMANCE!F38,RAW_PERFORMANCE!F39,RAW_PERFORMANCE!F40)</f>
        <v/>
      </c>
      <c r="J18" s="35">
        <f>AVERAGE(RAW_PERFORMANCE!K38,RAW_PERFORMANCE!K39,RAW_PERFORMANCE!K40)</f>
        <v/>
      </c>
      <c r="K18" s="35">
        <f>AVERAGE(RAW_PERFORMANCE!L38,RAW_PERFORMANCE!L39,RAW_PERFORMANCE!L40)</f>
        <v/>
      </c>
      <c r="L18" s="35">
        <f>AVERAGE(RAW_PERFORMANCE!M38,RAW_PERFORMANCE!M39,RAW_PERFORMANCE!M40)</f>
        <v/>
      </c>
      <c r="M18" s="35">
        <f>AVERAGE(RAW_PERFORMANCE!J38,RAW_PERFORMANCE!J39,RAW_PERFORMANCE!J40)</f>
        <v/>
      </c>
      <c r="N18" s="35">
        <f>AVERAGE(RAW_PERFORMANCE!P38,RAW_PERFORMANCE!P39,RAW_PERFORMANCE!P40)</f>
        <v/>
      </c>
      <c r="O18" s="31" t="inlineStr">
        <is>
          <t>COMPLETED DEVELOPMENT</t>
        </is>
      </c>
      <c r="P18" s="31" t="n"/>
    </row>
    <row r="19" ht="24" customHeight="1">
      <c r="A19" s="31" t="inlineStr">
        <is>
          <t>D002__TECO15</t>
        </is>
      </c>
      <c r="B19" s="31" t="inlineStr">
        <is>
          <t>D002</t>
        </is>
      </c>
      <c r="C19" s="31" t="inlineStr">
        <is>
          <t>TECO15</t>
        </is>
      </c>
      <c r="D19" s="47">
        <f>AVERAGE(RAW_PERFORMANCE!F41,RAW_PERFORMANCE!F42,RAW_PERFORMANCE!F43)</f>
        <v/>
      </c>
      <c r="E19" s="47">
        <f>AVERAGE(RAW_PERFORMANCE!G41,RAW_PERFORMANCE!G42,RAW_PERFORMANCE!G43)</f>
        <v/>
      </c>
      <c r="F19" s="47">
        <f>AVERAGE(RAW_PERFORMANCE!H41,RAW_PERFORMANCE!H42,RAW_PERFORMANCE!H43)</f>
        <v/>
      </c>
      <c r="G19" s="47">
        <f>AVERAGE(RAW_PERFORMANCE!I41,RAW_PERFORMANCE!I42,RAW_PERFORMANCE!I43)</f>
        <v/>
      </c>
      <c r="H19" s="48" t="n">
        <v>0</v>
      </c>
      <c r="I19" s="49">
        <f>COUNT(RAW_PERFORMANCE!F41,RAW_PERFORMANCE!F42,RAW_PERFORMANCE!F43)</f>
        <v/>
      </c>
      <c r="J19" s="35">
        <f>AVERAGE(RAW_PERFORMANCE!K41,RAW_PERFORMANCE!K42,RAW_PERFORMANCE!K43)</f>
        <v/>
      </c>
      <c r="K19" s="35">
        <f>AVERAGE(RAW_PERFORMANCE!L41,RAW_PERFORMANCE!L42,RAW_PERFORMANCE!L43)</f>
        <v/>
      </c>
      <c r="L19" s="35">
        <f>AVERAGE(RAW_PERFORMANCE!M41,RAW_PERFORMANCE!M42,RAW_PERFORMANCE!M43)</f>
        <v/>
      </c>
      <c r="M19" s="35">
        <f>AVERAGE(RAW_PERFORMANCE!J41,RAW_PERFORMANCE!J42,RAW_PERFORMANCE!J43)</f>
        <v/>
      </c>
      <c r="N19" s="35">
        <f>AVERAGE(RAW_PERFORMANCE!P41,RAW_PERFORMANCE!P42,RAW_PERFORMANCE!P43)</f>
        <v/>
      </c>
      <c r="O19" s="31" t="inlineStr">
        <is>
          <t>COMPLETED DEVELOPMENT</t>
        </is>
      </c>
      <c r="P19" s="31" t="n"/>
    </row>
    <row r="20" ht="24" customHeight="1">
      <c r="A20" s="31" t="inlineStr">
        <is>
          <t>D003__SP</t>
        </is>
      </c>
      <c r="B20" s="31" t="inlineStr">
        <is>
          <t>D003</t>
        </is>
      </c>
      <c r="C20" s="31" t="inlineStr">
        <is>
          <t>SP</t>
        </is>
      </c>
      <c r="D20" s="47">
        <f>AVERAGE(RAW_PERFORMANCE!F44,RAW_PERFORMANCE!F45,RAW_PERFORMANCE!F46)</f>
        <v/>
      </c>
      <c r="E20" s="47">
        <f>AVERAGE(RAW_PERFORMANCE!G44,RAW_PERFORMANCE!G45,RAW_PERFORMANCE!G46)</f>
        <v/>
      </c>
      <c r="F20" s="47">
        <f>AVERAGE(RAW_PERFORMANCE!H44,RAW_PERFORMANCE!H45,RAW_PERFORMANCE!H46)</f>
        <v/>
      </c>
      <c r="G20" s="47">
        <f>AVERAGE(RAW_PERFORMANCE!I44,RAW_PERFORMANCE!I45,RAW_PERFORMANCE!I46)</f>
        <v/>
      </c>
      <c r="H20" s="48" t="n">
        <v>1</v>
      </c>
      <c r="I20" s="49">
        <f>COUNT(RAW_PERFORMANCE!F44,RAW_PERFORMANCE!F45,RAW_PERFORMANCE!F46)</f>
        <v/>
      </c>
      <c r="J20" s="35">
        <f>AVERAGE(RAW_PERFORMANCE!K44,RAW_PERFORMANCE!K45,RAW_PERFORMANCE!K46)</f>
        <v/>
      </c>
      <c r="K20" s="35">
        <f>AVERAGE(RAW_PERFORMANCE!L44,RAW_PERFORMANCE!L45,RAW_PERFORMANCE!L46)</f>
        <v/>
      </c>
      <c r="L20" s="35">
        <f>AVERAGE(RAW_PERFORMANCE!M44,RAW_PERFORMANCE!M45,RAW_PERFORMANCE!M46)</f>
        <v/>
      </c>
      <c r="M20" s="35">
        <f>AVERAGE(RAW_PERFORMANCE!J44,RAW_PERFORMANCE!J45,RAW_PERFORMANCE!J46)</f>
        <v/>
      </c>
      <c r="N20" s="35">
        <f>AVERAGE(RAW_PERFORMANCE!P44,RAW_PERFORMANCE!P45,RAW_PERFORMANCE!P46)</f>
        <v/>
      </c>
      <c r="O20" s="31" t="inlineStr">
        <is>
          <t>COMPLETED DEVELOPMENT</t>
        </is>
      </c>
      <c r="P20" s="31" t="n"/>
    </row>
    <row r="21" ht="24" customHeight="1">
      <c r="A21" s="31" t="inlineStr">
        <is>
          <t>D003__DTT</t>
        </is>
      </c>
      <c r="B21" s="31" t="inlineStr">
        <is>
          <t>D003</t>
        </is>
      </c>
      <c r="C21" s="31" t="inlineStr">
        <is>
          <t>DTT</t>
        </is>
      </c>
      <c r="D21" s="47">
        <f>AVERAGE(RAW_PERFORMANCE!F47,RAW_PERFORMANCE!F48,RAW_PERFORMANCE!F49)</f>
        <v/>
      </c>
      <c r="E21" s="47">
        <f>AVERAGE(RAW_PERFORMANCE!G47,RAW_PERFORMANCE!G48,RAW_PERFORMANCE!G49)</f>
        <v/>
      </c>
      <c r="F21" s="47">
        <f>AVERAGE(RAW_PERFORMANCE!H47,RAW_PERFORMANCE!H48,RAW_PERFORMANCE!H49)</f>
        <v/>
      </c>
      <c r="G21" s="47">
        <f>AVERAGE(RAW_PERFORMANCE!I47,RAW_PERFORMANCE!I48,RAW_PERFORMANCE!I49)</f>
        <v/>
      </c>
      <c r="H21" s="48" t="n">
        <v>1</v>
      </c>
      <c r="I21" s="49">
        <f>COUNT(RAW_PERFORMANCE!F47,RAW_PERFORMANCE!F48,RAW_PERFORMANCE!F49)</f>
        <v/>
      </c>
      <c r="J21" s="35">
        <f>AVERAGE(RAW_PERFORMANCE!K47,RAW_PERFORMANCE!K48,RAW_PERFORMANCE!K49)</f>
        <v/>
      </c>
      <c r="K21" s="35">
        <f>AVERAGE(RAW_PERFORMANCE!L47,RAW_PERFORMANCE!L48,RAW_PERFORMANCE!L49)</f>
        <v/>
      </c>
      <c r="L21" s="35">
        <f>AVERAGE(RAW_PERFORMANCE!M47,RAW_PERFORMANCE!M48,RAW_PERFORMANCE!M49)</f>
        <v/>
      </c>
      <c r="M21" s="35">
        <f>AVERAGE(RAW_PERFORMANCE!J47,RAW_PERFORMANCE!J48,RAW_PERFORMANCE!J49)</f>
        <v/>
      </c>
      <c r="N21" s="35">
        <f>AVERAGE(RAW_PERFORMANCE!P47,RAW_PERFORMANCE!P48,RAW_PERFORMANCE!P49)</f>
        <v/>
      </c>
      <c r="O21" s="31" t="inlineStr">
        <is>
          <t>COMPLETED DEVELOPMENT</t>
        </is>
      </c>
      <c r="P21" s="31" t="n"/>
    </row>
    <row r="22" ht="24" customHeight="1">
      <c r="A22" s="31" t="inlineStr">
        <is>
          <t>D003__ECO</t>
        </is>
      </c>
      <c r="B22" s="31" t="inlineStr">
        <is>
          <t>D003</t>
        </is>
      </c>
      <c r="C22" s="31" t="inlineStr">
        <is>
          <t>ECO</t>
        </is>
      </c>
      <c r="D22" s="47">
        <f>AVERAGE(RAW_PERFORMANCE!F50,RAW_PERFORMANCE!F51,RAW_PERFORMANCE!F52)</f>
        <v/>
      </c>
      <c r="E22" s="47">
        <f>AVERAGE(RAW_PERFORMANCE!G50,RAW_PERFORMANCE!G51,RAW_PERFORMANCE!G52)</f>
        <v/>
      </c>
      <c r="F22" s="47">
        <f>AVERAGE(RAW_PERFORMANCE!H50,RAW_PERFORMANCE!H51,RAW_PERFORMANCE!H52)</f>
        <v/>
      </c>
      <c r="G22" s="47">
        <f>AVERAGE(RAW_PERFORMANCE!I50,RAW_PERFORMANCE!I51,RAW_PERFORMANCE!I52)</f>
        <v/>
      </c>
      <c r="H22" s="48" t="n">
        <v>1</v>
      </c>
      <c r="I22" s="49">
        <f>COUNT(RAW_PERFORMANCE!F50,RAW_PERFORMANCE!F51,RAW_PERFORMANCE!F52)</f>
        <v/>
      </c>
      <c r="J22" s="35">
        <f>AVERAGE(RAW_PERFORMANCE!K50,RAW_PERFORMANCE!K51,RAW_PERFORMANCE!K52)</f>
        <v/>
      </c>
      <c r="K22" s="35">
        <f>AVERAGE(RAW_PERFORMANCE!L50,RAW_PERFORMANCE!L51,RAW_PERFORMANCE!L52)</f>
        <v/>
      </c>
      <c r="L22" s="35">
        <f>AVERAGE(RAW_PERFORMANCE!M50,RAW_PERFORMANCE!M51,RAW_PERFORMANCE!M52)</f>
        <v/>
      </c>
      <c r="M22" s="35">
        <f>AVERAGE(RAW_PERFORMANCE!J50,RAW_PERFORMANCE!J51,RAW_PERFORMANCE!J52)</f>
        <v/>
      </c>
      <c r="N22" s="35">
        <f>AVERAGE(RAW_PERFORMANCE!P50,RAW_PERFORMANCE!P51,RAW_PERFORMANCE!P52)</f>
        <v/>
      </c>
      <c r="O22" s="31" t="inlineStr">
        <is>
          <t>COMPLETED DEVELOPMENT</t>
        </is>
      </c>
      <c r="P22" s="31" t="n"/>
    </row>
    <row r="23" ht="24" customHeight="1">
      <c r="A23" s="31" t="inlineStr">
        <is>
          <t>D003__TECO05</t>
        </is>
      </c>
      <c r="B23" s="31" t="inlineStr">
        <is>
          <t>D003</t>
        </is>
      </c>
      <c r="C23" s="31" t="inlineStr">
        <is>
          <t>TECO05</t>
        </is>
      </c>
      <c r="D23" s="47">
        <f>AVERAGE(RAW_PERFORMANCE!F53,RAW_PERFORMANCE!F54,RAW_PERFORMANCE!F55)</f>
        <v/>
      </c>
      <c r="E23" s="47">
        <f>AVERAGE(RAW_PERFORMANCE!G53,RAW_PERFORMANCE!G54,RAW_PERFORMANCE!G55)</f>
        <v/>
      </c>
      <c r="F23" s="47">
        <f>AVERAGE(RAW_PERFORMANCE!H53,RAW_PERFORMANCE!H54,RAW_PERFORMANCE!H55)</f>
        <v/>
      </c>
      <c r="G23" s="47">
        <f>AVERAGE(RAW_PERFORMANCE!I53,RAW_PERFORMANCE!I54,RAW_PERFORMANCE!I55)</f>
        <v/>
      </c>
      <c r="H23" s="48" t="n">
        <v>0</v>
      </c>
      <c r="I23" s="49">
        <f>COUNT(RAW_PERFORMANCE!F53,RAW_PERFORMANCE!F54,RAW_PERFORMANCE!F55)</f>
        <v/>
      </c>
      <c r="J23" s="35">
        <f>AVERAGE(RAW_PERFORMANCE!K53,RAW_PERFORMANCE!K54,RAW_PERFORMANCE!K55)</f>
        <v/>
      </c>
      <c r="K23" s="35">
        <f>AVERAGE(RAW_PERFORMANCE!L53,RAW_PERFORMANCE!L54,RAW_PERFORMANCE!L55)</f>
        <v/>
      </c>
      <c r="L23" s="35">
        <f>AVERAGE(RAW_PERFORMANCE!M53,RAW_PERFORMANCE!M54,RAW_PERFORMANCE!M55)</f>
        <v/>
      </c>
      <c r="M23" s="35">
        <f>AVERAGE(RAW_PERFORMANCE!J53,RAW_PERFORMANCE!J54,RAW_PERFORMANCE!J55)</f>
        <v/>
      </c>
      <c r="N23" s="35">
        <f>AVERAGE(RAW_PERFORMANCE!P53,RAW_PERFORMANCE!P54,RAW_PERFORMANCE!P55)</f>
        <v/>
      </c>
      <c r="O23" s="31" t="inlineStr">
        <is>
          <t>COMPLETED DEVELOPMENT</t>
        </is>
      </c>
      <c r="P23" s="31" t="n"/>
    </row>
    <row r="24" ht="24" customHeight="1">
      <c r="A24" s="31" t="inlineStr">
        <is>
          <t>D003__TECO10</t>
        </is>
      </c>
      <c r="B24" s="31" t="inlineStr">
        <is>
          <t>D003</t>
        </is>
      </c>
      <c r="C24" s="31" t="inlineStr">
        <is>
          <t>TECO10</t>
        </is>
      </c>
      <c r="D24" s="47">
        <f>AVERAGE(RAW_PERFORMANCE!F56,RAW_PERFORMANCE!F57,RAW_PERFORMANCE!F58)</f>
        <v/>
      </c>
      <c r="E24" s="47">
        <f>AVERAGE(RAW_PERFORMANCE!G56,RAW_PERFORMANCE!G57,RAW_PERFORMANCE!G58)</f>
        <v/>
      </c>
      <c r="F24" s="47">
        <f>AVERAGE(RAW_PERFORMANCE!H56,RAW_PERFORMANCE!H57,RAW_PERFORMANCE!H58)</f>
        <v/>
      </c>
      <c r="G24" s="47">
        <f>AVERAGE(RAW_PERFORMANCE!I56,RAW_PERFORMANCE!I57,RAW_PERFORMANCE!I58)</f>
        <v/>
      </c>
      <c r="H24" s="48" t="n">
        <v>1</v>
      </c>
      <c r="I24" s="49">
        <f>COUNT(RAW_PERFORMANCE!F56,RAW_PERFORMANCE!F57,RAW_PERFORMANCE!F58)</f>
        <v/>
      </c>
      <c r="J24" s="35">
        <f>AVERAGE(RAW_PERFORMANCE!K56,RAW_PERFORMANCE!K57,RAW_PERFORMANCE!K58)</f>
        <v/>
      </c>
      <c r="K24" s="35">
        <f>AVERAGE(RAW_PERFORMANCE!L56,RAW_PERFORMANCE!L57,RAW_PERFORMANCE!L58)</f>
        <v/>
      </c>
      <c r="L24" s="35">
        <f>AVERAGE(RAW_PERFORMANCE!M56,RAW_PERFORMANCE!M57,RAW_PERFORMANCE!M58)</f>
        <v/>
      </c>
      <c r="M24" s="35">
        <f>AVERAGE(RAW_PERFORMANCE!J56,RAW_PERFORMANCE!J57,RAW_PERFORMANCE!J58)</f>
        <v/>
      </c>
      <c r="N24" s="35">
        <f>AVERAGE(RAW_PERFORMANCE!P56,RAW_PERFORMANCE!P57,RAW_PERFORMANCE!P58)</f>
        <v/>
      </c>
      <c r="O24" s="31" t="inlineStr">
        <is>
          <t>COMPLETED DEVELOPMENT</t>
        </is>
      </c>
      <c r="P24" s="31" t="n"/>
    </row>
    <row r="25" ht="24" customHeight="1">
      <c r="A25" s="31" t="inlineStr">
        <is>
          <t>D003__TECO15</t>
        </is>
      </c>
      <c r="B25" s="31" t="inlineStr">
        <is>
          <t>D003</t>
        </is>
      </c>
      <c r="C25" s="31" t="inlineStr">
        <is>
          <t>TECO15</t>
        </is>
      </c>
      <c r="D25" s="47">
        <f>AVERAGE(RAW_PERFORMANCE!F59,RAW_PERFORMANCE!F60,RAW_PERFORMANCE!F61)</f>
        <v/>
      </c>
      <c r="E25" s="47">
        <f>AVERAGE(RAW_PERFORMANCE!G59,RAW_PERFORMANCE!G60,RAW_PERFORMANCE!G61)</f>
        <v/>
      </c>
      <c r="F25" s="47">
        <f>AVERAGE(RAW_PERFORMANCE!H59,RAW_PERFORMANCE!H60,RAW_PERFORMANCE!H61)</f>
        <v/>
      </c>
      <c r="G25" s="47">
        <f>AVERAGE(RAW_PERFORMANCE!I59,RAW_PERFORMANCE!I60,RAW_PERFORMANCE!I61)</f>
        <v/>
      </c>
      <c r="H25" s="48" t="n">
        <v>0</v>
      </c>
      <c r="I25" s="49">
        <f>COUNT(RAW_PERFORMANCE!F59,RAW_PERFORMANCE!F60,RAW_PERFORMANCE!F61)</f>
        <v/>
      </c>
      <c r="J25" s="35">
        <f>AVERAGE(RAW_PERFORMANCE!K59,RAW_PERFORMANCE!K60,RAW_PERFORMANCE!K61)</f>
        <v/>
      </c>
      <c r="K25" s="35">
        <f>AVERAGE(RAW_PERFORMANCE!L59,RAW_PERFORMANCE!L60,RAW_PERFORMANCE!L61)</f>
        <v/>
      </c>
      <c r="L25" s="35">
        <f>AVERAGE(RAW_PERFORMANCE!M59,RAW_PERFORMANCE!M60,RAW_PERFORMANCE!M61)</f>
        <v/>
      </c>
      <c r="M25" s="35">
        <f>AVERAGE(RAW_PERFORMANCE!J59,RAW_PERFORMANCE!J60,RAW_PERFORMANCE!J61)</f>
        <v/>
      </c>
      <c r="N25" s="35">
        <f>AVERAGE(RAW_PERFORMANCE!P59,RAW_PERFORMANCE!P60,RAW_PERFORMANCE!P61)</f>
        <v/>
      </c>
      <c r="O25" s="31" t="inlineStr">
        <is>
          <t>COMPLETED DEVELOPMENT</t>
        </is>
      </c>
      <c r="P25" s="31" t="n"/>
    </row>
    <row r="26" ht="24" customHeight="1">
      <c r="A26" s="31" t="inlineStr">
        <is>
          <t>D004__SP</t>
        </is>
      </c>
      <c r="B26" s="31" t="inlineStr">
        <is>
          <t>D004</t>
        </is>
      </c>
      <c r="C26" s="31" t="inlineStr">
        <is>
          <t>SP</t>
        </is>
      </c>
      <c r="D26" s="47">
        <f>AVERAGE(RAW_PERFORMANCE!F62,RAW_PERFORMANCE!F63,RAW_PERFORMANCE!F64)</f>
        <v/>
      </c>
      <c r="E26" s="47">
        <f>AVERAGE(RAW_PERFORMANCE!G62,RAW_PERFORMANCE!G63,RAW_PERFORMANCE!G64)</f>
        <v/>
      </c>
      <c r="F26" s="47">
        <f>AVERAGE(RAW_PERFORMANCE!H62,RAW_PERFORMANCE!H63,RAW_PERFORMANCE!H64)</f>
        <v/>
      </c>
      <c r="G26" s="47">
        <f>AVERAGE(RAW_PERFORMANCE!I62,RAW_PERFORMANCE!I63,RAW_PERFORMANCE!I64)</f>
        <v/>
      </c>
      <c r="H26" s="48" t="n">
        <v>1</v>
      </c>
      <c r="I26" s="49">
        <f>COUNT(RAW_PERFORMANCE!F62,RAW_PERFORMANCE!F63,RAW_PERFORMANCE!F64)</f>
        <v/>
      </c>
      <c r="J26" s="35">
        <f>AVERAGE(RAW_PERFORMANCE!K62,RAW_PERFORMANCE!K63,RAW_PERFORMANCE!K64)</f>
        <v/>
      </c>
      <c r="K26" s="35">
        <f>AVERAGE(RAW_PERFORMANCE!L62,RAW_PERFORMANCE!L63,RAW_PERFORMANCE!L64)</f>
        <v/>
      </c>
      <c r="L26" s="35">
        <f>AVERAGE(RAW_PERFORMANCE!M62,RAW_PERFORMANCE!M63,RAW_PERFORMANCE!M64)</f>
        <v/>
      </c>
      <c r="M26" s="35">
        <f>AVERAGE(RAW_PERFORMANCE!J62,RAW_PERFORMANCE!J63,RAW_PERFORMANCE!J64)</f>
        <v/>
      </c>
      <c r="N26" s="35">
        <f>AVERAGE(RAW_PERFORMANCE!P62,RAW_PERFORMANCE!P63,RAW_PERFORMANCE!P64)</f>
        <v/>
      </c>
      <c r="O26" s="31" t="inlineStr">
        <is>
          <t>COMPLETED DEVELOPMENT</t>
        </is>
      </c>
      <c r="P26" s="31" t="n"/>
    </row>
    <row r="27" ht="24" customHeight="1">
      <c r="A27" s="31" t="inlineStr">
        <is>
          <t>D004__DTT</t>
        </is>
      </c>
      <c r="B27" s="31" t="inlineStr">
        <is>
          <t>D004</t>
        </is>
      </c>
      <c r="C27" s="31" t="inlineStr">
        <is>
          <t>DTT</t>
        </is>
      </c>
      <c r="D27" s="47">
        <f>AVERAGE(RAW_PERFORMANCE!F65,RAW_PERFORMANCE!F66,RAW_PERFORMANCE!F67)</f>
        <v/>
      </c>
      <c r="E27" s="47">
        <f>AVERAGE(RAW_PERFORMANCE!G65,RAW_PERFORMANCE!G66,RAW_PERFORMANCE!G67)</f>
        <v/>
      </c>
      <c r="F27" s="47">
        <f>AVERAGE(RAW_PERFORMANCE!H65,RAW_PERFORMANCE!H66,RAW_PERFORMANCE!H67)</f>
        <v/>
      </c>
      <c r="G27" s="47">
        <f>AVERAGE(RAW_PERFORMANCE!I65,RAW_PERFORMANCE!I66,RAW_PERFORMANCE!I67)</f>
        <v/>
      </c>
      <c r="H27" s="48" t="n">
        <v>1</v>
      </c>
      <c r="I27" s="49">
        <f>COUNT(RAW_PERFORMANCE!F65,RAW_PERFORMANCE!F66,RAW_PERFORMANCE!F67)</f>
        <v/>
      </c>
      <c r="J27" s="35">
        <f>AVERAGE(RAW_PERFORMANCE!K65,RAW_PERFORMANCE!K66,RAW_PERFORMANCE!K67)</f>
        <v/>
      </c>
      <c r="K27" s="35">
        <f>AVERAGE(RAW_PERFORMANCE!L65,RAW_PERFORMANCE!L66,RAW_PERFORMANCE!L67)</f>
        <v/>
      </c>
      <c r="L27" s="35">
        <f>AVERAGE(RAW_PERFORMANCE!M65,RAW_PERFORMANCE!M66,RAW_PERFORMANCE!M67)</f>
        <v/>
      </c>
      <c r="M27" s="35">
        <f>AVERAGE(RAW_PERFORMANCE!J65,RAW_PERFORMANCE!J66,RAW_PERFORMANCE!J67)</f>
        <v/>
      </c>
      <c r="N27" s="35">
        <f>AVERAGE(RAW_PERFORMANCE!P65,RAW_PERFORMANCE!P66,RAW_PERFORMANCE!P67)</f>
        <v/>
      </c>
      <c r="O27" s="31" t="inlineStr">
        <is>
          <t>COMPLETED DEVELOPMENT</t>
        </is>
      </c>
      <c r="P27" s="31" t="n"/>
    </row>
    <row r="28" ht="24" customHeight="1">
      <c r="A28" s="31" t="inlineStr">
        <is>
          <t>D004__ECO</t>
        </is>
      </c>
      <c r="B28" s="31" t="inlineStr">
        <is>
          <t>D004</t>
        </is>
      </c>
      <c r="C28" s="31" t="inlineStr">
        <is>
          <t>ECO</t>
        </is>
      </c>
      <c r="D28" s="47">
        <f>AVERAGE(RAW_PERFORMANCE!F68,RAW_PERFORMANCE!F69,RAW_PERFORMANCE!F70)</f>
        <v/>
      </c>
      <c r="E28" s="47">
        <f>AVERAGE(RAW_PERFORMANCE!G68,RAW_PERFORMANCE!G69,RAW_PERFORMANCE!G70)</f>
        <v/>
      </c>
      <c r="F28" s="47">
        <f>AVERAGE(RAW_PERFORMANCE!H68,RAW_PERFORMANCE!H69,RAW_PERFORMANCE!H70)</f>
        <v/>
      </c>
      <c r="G28" s="47">
        <f>AVERAGE(RAW_PERFORMANCE!I68,RAW_PERFORMANCE!I69,RAW_PERFORMANCE!I70)</f>
        <v/>
      </c>
      <c r="H28" s="48" t="n">
        <v>1</v>
      </c>
      <c r="I28" s="49">
        <f>COUNT(RAW_PERFORMANCE!F68,RAW_PERFORMANCE!F69,RAW_PERFORMANCE!F70)</f>
        <v/>
      </c>
      <c r="J28" s="35">
        <f>AVERAGE(RAW_PERFORMANCE!K68,RAW_PERFORMANCE!K69,RAW_PERFORMANCE!K70)</f>
        <v/>
      </c>
      <c r="K28" s="35">
        <f>AVERAGE(RAW_PERFORMANCE!L68,RAW_PERFORMANCE!L69,RAW_PERFORMANCE!L70)</f>
        <v/>
      </c>
      <c r="L28" s="35">
        <f>AVERAGE(RAW_PERFORMANCE!M68,RAW_PERFORMANCE!M69,RAW_PERFORMANCE!M70)</f>
        <v/>
      </c>
      <c r="M28" s="35">
        <f>AVERAGE(RAW_PERFORMANCE!J68,RAW_PERFORMANCE!J69,RAW_PERFORMANCE!J70)</f>
        <v/>
      </c>
      <c r="N28" s="35">
        <f>AVERAGE(RAW_PERFORMANCE!P68,RAW_PERFORMANCE!P69,RAW_PERFORMANCE!P70)</f>
        <v/>
      </c>
      <c r="O28" s="31" t="inlineStr">
        <is>
          <t>COMPLETED DEVELOPMENT</t>
        </is>
      </c>
      <c r="P28" s="31" t="n"/>
    </row>
    <row r="29" ht="24" customHeight="1">
      <c r="A29" s="31" t="inlineStr">
        <is>
          <t>D004__TECO05</t>
        </is>
      </c>
      <c r="B29" s="31" t="inlineStr">
        <is>
          <t>D004</t>
        </is>
      </c>
      <c r="C29" s="31" t="inlineStr">
        <is>
          <t>TECO05</t>
        </is>
      </c>
      <c r="D29" s="47">
        <f>AVERAGE(RAW_PERFORMANCE!F71,RAW_PERFORMANCE!F72,RAW_PERFORMANCE!F73)</f>
        <v/>
      </c>
      <c r="E29" s="47">
        <f>AVERAGE(RAW_PERFORMANCE!G71,RAW_PERFORMANCE!G72,RAW_PERFORMANCE!G73)</f>
        <v/>
      </c>
      <c r="F29" s="47">
        <f>AVERAGE(RAW_PERFORMANCE!H71,RAW_PERFORMANCE!H72,RAW_PERFORMANCE!H73)</f>
        <v/>
      </c>
      <c r="G29" s="47">
        <f>AVERAGE(RAW_PERFORMANCE!I71,RAW_PERFORMANCE!I72,RAW_PERFORMANCE!I73)</f>
        <v/>
      </c>
      <c r="H29" s="48" t="n">
        <v>0</v>
      </c>
      <c r="I29" s="49">
        <f>COUNT(RAW_PERFORMANCE!F71,RAW_PERFORMANCE!F72,RAW_PERFORMANCE!F73)</f>
        <v/>
      </c>
      <c r="J29" s="35">
        <f>AVERAGE(RAW_PERFORMANCE!K71,RAW_PERFORMANCE!K72,RAW_PERFORMANCE!K73)</f>
        <v/>
      </c>
      <c r="K29" s="35">
        <f>AVERAGE(RAW_PERFORMANCE!L71,RAW_PERFORMANCE!L72,RAW_PERFORMANCE!L73)</f>
        <v/>
      </c>
      <c r="L29" s="35">
        <f>AVERAGE(RAW_PERFORMANCE!M71,RAW_PERFORMANCE!M72,RAW_PERFORMANCE!M73)</f>
        <v/>
      </c>
      <c r="M29" s="35">
        <f>AVERAGE(RAW_PERFORMANCE!J71,RAW_PERFORMANCE!J72,RAW_PERFORMANCE!J73)</f>
        <v/>
      </c>
      <c r="N29" s="35">
        <f>AVERAGE(RAW_PERFORMANCE!P71,RAW_PERFORMANCE!P72,RAW_PERFORMANCE!P73)</f>
        <v/>
      </c>
      <c r="O29" s="31" t="inlineStr">
        <is>
          <t>COMPLETED DEVELOPMENT</t>
        </is>
      </c>
      <c r="P29" s="31" t="n"/>
    </row>
    <row r="30" ht="24" customHeight="1">
      <c r="A30" s="31" t="inlineStr">
        <is>
          <t>D004__TECO10</t>
        </is>
      </c>
      <c r="B30" s="31" t="inlineStr">
        <is>
          <t>D004</t>
        </is>
      </c>
      <c r="C30" s="31" t="inlineStr">
        <is>
          <t>TECO10</t>
        </is>
      </c>
      <c r="D30" s="47">
        <f>AVERAGE(RAW_PERFORMANCE!F74,RAW_PERFORMANCE!F75,RAW_PERFORMANCE!F76)</f>
        <v/>
      </c>
      <c r="E30" s="47">
        <f>AVERAGE(RAW_PERFORMANCE!G74,RAW_PERFORMANCE!G75,RAW_PERFORMANCE!G76)</f>
        <v/>
      </c>
      <c r="F30" s="47">
        <f>AVERAGE(RAW_PERFORMANCE!H74,RAW_PERFORMANCE!H75,RAW_PERFORMANCE!H76)</f>
        <v/>
      </c>
      <c r="G30" s="47">
        <f>AVERAGE(RAW_PERFORMANCE!I74,RAW_PERFORMANCE!I75,RAW_PERFORMANCE!I76)</f>
        <v/>
      </c>
      <c r="H30" s="48" t="n">
        <v>1</v>
      </c>
      <c r="I30" s="49">
        <f>COUNT(RAW_PERFORMANCE!F74,RAW_PERFORMANCE!F75,RAW_PERFORMANCE!F76)</f>
        <v/>
      </c>
      <c r="J30" s="35">
        <f>AVERAGE(RAW_PERFORMANCE!K74,RAW_PERFORMANCE!K75,RAW_PERFORMANCE!K76)</f>
        <v/>
      </c>
      <c r="K30" s="35">
        <f>AVERAGE(RAW_PERFORMANCE!L74,RAW_PERFORMANCE!L75,RAW_PERFORMANCE!L76)</f>
        <v/>
      </c>
      <c r="L30" s="35">
        <f>AVERAGE(RAW_PERFORMANCE!M74,RAW_PERFORMANCE!M75,RAW_PERFORMANCE!M76)</f>
        <v/>
      </c>
      <c r="M30" s="35">
        <f>AVERAGE(RAW_PERFORMANCE!J74,RAW_PERFORMANCE!J75,RAW_PERFORMANCE!J76)</f>
        <v/>
      </c>
      <c r="N30" s="35">
        <f>AVERAGE(RAW_PERFORMANCE!P74,RAW_PERFORMANCE!P75,RAW_PERFORMANCE!P76)</f>
        <v/>
      </c>
      <c r="O30" s="31" t="inlineStr">
        <is>
          <t>COMPLETED DEVELOPMENT</t>
        </is>
      </c>
      <c r="P30" s="31" t="n"/>
    </row>
    <row r="31" ht="24" customHeight="1">
      <c r="A31" s="31" t="inlineStr">
        <is>
          <t>D004__TECO15</t>
        </is>
      </c>
      <c r="B31" s="31" t="inlineStr">
        <is>
          <t>D004</t>
        </is>
      </c>
      <c r="C31" s="31" t="inlineStr">
        <is>
          <t>TECO15</t>
        </is>
      </c>
      <c r="D31" s="47">
        <f>AVERAGE(RAW_PERFORMANCE!F77,RAW_PERFORMANCE!F78,RAW_PERFORMANCE!F79)</f>
        <v/>
      </c>
      <c r="E31" s="47">
        <f>AVERAGE(RAW_PERFORMANCE!G77,RAW_PERFORMANCE!G78,RAW_PERFORMANCE!G79)</f>
        <v/>
      </c>
      <c r="F31" s="47">
        <f>AVERAGE(RAW_PERFORMANCE!H77,RAW_PERFORMANCE!H78,RAW_PERFORMANCE!H79)</f>
        <v/>
      </c>
      <c r="G31" s="47">
        <f>AVERAGE(RAW_PERFORMANCE!I77,RAW_PERFORMANCE!I78,RAW_PERFORMANCE!I79)</f>
        <v/>
      </c>
      <c r="H31" s="48" t="n">
        <v>0</v>
      </c>
      <c r="I31" s="49">
        <f>COUNT(RAW_PERFORMANCE!F77,RAW_PERFORMANCE!F78,RAW_PERFORMANCE!F79)</f>
        <v/>
      </c>
      <c r="J31" s="35">
        <f>AVERAGE(RAW_PERFORMANCE!K77,RAW_PERFORMANCE!K78,RAW_PERFORMANCE!K79)</f>
        <v/>
      </c>
      <c r="K31" s="35">
        <f>AVERAGE(RAW_PERFORMANCE!L77,RAW_PERFORMANCE!L78,RAW_PERFORMANCE!L79)</f>
        <v/>
      </c>
      <c r="L31" s="35">
        <f>AVERAGE(RAW_PERFORMANCE!M77,RAW_PERFORMANCE!M78,RAW_PERFORMANCE!M79)</f>
        <v/>
      </c>
      <c r="M31" s="35">
        <f>AVERAGE(RAW_PERFORMANCE!J77,RAW_PERFORMANCE!J78,RAW_PERFORMANCE!J79)</f>
        <v/>
      </c>
      <c r="N31" s="35">
        <f>AVERAGE(RAW_PERFORMANCE!P77,RAW_PERFORMANCE!P78,RAW_PERFORMANCE!P79)</f>
        <v/>
      </c>
      <c r="O31" s="31" t="inlineStr">
        <is>
          <t>COMPLETED DEVELOPMENT</t>
        </is>
      </c>
      <c r="P31" s="31" t="n"/>
    </row>
    <row r="32" ht="24" customHeight="1">
      <c r="A32" s="31" t="inlineStr">
        <is>
          <t>D005__SP</t>
        </is>
      </c>
      <c r="B32" s="31" t="inlineStr">
        <is>
          <t>D005</t>
        </is>
      </c>
      <c r="C32" s="31" t="inlineStr">
        <is>
          <t>SP</t>
        </is>
      </c>
      <c r="D32" s="47">
        <f>AVERAGE(RAW_PERFORMANCE!F80,RAW_PERFORMANCE!F81,RAW_PERFORMANCE!F82)</f>
        <v/>
      </c>
      <c r="E32" s="47">
        <f>AVERAGE(RAW_PERFORMANCE!G80,RAW_PERFORMANCE!G81,RAW_PERFORMANCE!G82)</f>
        <v/>
      </c>
      <c r="F32" s="47">
        <f>AVERAGE(RAW_PERFORMANCE!H80,RAW_PERFORMANCE!H81,RAW_PERFORMANCE!H82)</f>
        <v/>
      </c>
      <c r="G32" s="47">
        <f>AVERAGE(RAW_PERFORMANCE!I80,RAW_PERFORMANCE!I81,RAW_PERFORMANCE!I82)</f>
        <v/>
      </c>
      <c r="H32" s="48" t="n">
        <v>1</v>
      </c>
      <c r="I32" s="49">
        <f>COUNT(RAW_PERFORMANCE!F80,RAW_PERFORMANCE!F81,RAW_PERFORMANCE!F82)</f>
        <v/>
      </c>
      <c r="J32" s="35">
        <f>AVERAGE(RAW_PERFORMANCE!K80,RAW_PERFORMANCE!K81,RAW_PERFORMANCE!K82)</f>
        <v/>
      </c>
      <c r="K32" s="35">
        <f>AVERAGE(RAW_PERFORMANCE!L80,RAW_PERFORMANCE!L81,RAW_PERFORMANCE!L82)</f>
        <v/>
      </c>
      <c r="L32" s="35">
        <f>AVERAGE(RAW_PERFORMANCE!M80,RAW_PERFORMANCE!M81,RAW_PERFORMANCE!M82)</f>
        <v/>
      </c>
      <c r="M32" s="35">
        <f>AVERAGE(RAW_PERFORMANCE!J80,RAW_PERFORMANCE!J81,RAW_PERFORMANCE!J82)</f>
        <v/>
      </c>
      <c r="N32" s="35">
        <f>AVERAGE(RAW_PERFORMANCE!P80,RAW_PERFORMANCE!P81,RAW_PERFORMANCE!P82)</f>
        <v/>
      </c>
      <c r="O32" s="31" t="inlineStr">
        <is>
          <t>COMPLETED DEVELOPMENT</t>
        </is>
      </c>
      <c r="P32" s="31" t="n"/>
    </row>
    <row r="33" ht="24" customHeight="1">
      <c r="A33" s="31" t="inlineStr">
        <is>
          <t>D005__DTT</t>
        </is>
      </c>
      <c r="B33" s="31" t="inlineStr">
        <is>
          <t>D005</t>
        </is>
      </c>
      <c r="C33" s="31" t="inlineStr">
        <is>
          <t>DTT</t>
        </is>
      </c>
      <c r="D33" s="47">
        <f>AVERAGE(RAW_PERFORMANCE!F83,RAW_PERFORMANCE!F84,RAW_PERFORMANCE!F85)</f>
        <v/>
      </c>
      <c r="E33" s="47">
        <f>AVERAGE(RAW_PERFORMANCE!G83,RAW_PERFORMANCE!G84,RAW_PERFORMANCE!G85)</f>
        <v/>
      </c>
      <c r="F33" s="47">
        <f>AVERAGE(RAW_PERFORMANCE!H83,RAW_PERFORMANCE!H84,RAW_PERFORMANCE!H85)</f>
        <v/>
      </c>
      <c r="G33" s="47">
        <f>AVERAGE(RAW_PERFORMANCE!I83,RAW_PERFORMANCE!I84,RAW_PERFORMANCE!I85)</f>
        <v/>
      </c>
      <c r="H33" s="48" t="n">
        <v>1</v>
      </c>
      <c r="I33" s="49">
        <f>COUNT(RAW_PERFORMANCE!F83,RAW_PERFORMANCE!F84,RAW_PERFORMANCE!F85)</f>
        <v/>
      </c>
      <c r="J33" s="35">
        <f>AVERAGE(RAW_PERFORMANCE!K83,RAW_PERFORMANCE!K84,RAW_PERFORMANCE!K85)</f>
        <v/>
      </c>
      <c r="K33" s="35">
        <f>AVERAGE(RAW_PERFORMANCE!L83,RAW_PERFORMANCE!L84,RAW_PERFORMANCE!L85)</f>
        <v/>
      </c>
      <c r="L33" s="35">
        <f>AVERAGE(RAW_PERFORMANCE!M83,RAW_PERFORMANCE!M84,RAW_PERFORMANCE!M85)</f>
        <v/>
      </c>
      <c r="M33" s="35">
        <f>AVERAGE(RAW_PERFORMANCE!J83,RAW_PERFORMANCE!J84,RAW_PERFORMANCE!J85)</f>
        <v/>
      </c>
      <c r="N33" s="35">
        <f>AVERAGE(RAW_PERFORMANCE!P83,RAW_PERFORMANCE!P84,RAW_PERFORMANCE!P85)</f>
        <v/>
      </c>
      <c r="O33" s="31" t="inlineStr">
        <is>
          <t>COMPLETED DEVELOPMENT</t>
        </is>
      </c>
      <c r="P33" s="31" t="n"/>
    </row>
    <row r="34" ht="24" customHeight="1">
      <c r="A34" s="31" t="inlineStr">
        <is>
          <t>D005__ECO</t>
        </is>
      </c>
      <c r="B34" s="31" t="inlineStr">
        <is>
          <t>D005</t>
        </is>
      </c>
      <c r="C34" s="31" t="inlineStr">
        <is>
          <t>ECO</t>
        </is>
      </c>
      <c r="D34" s="47">
        <f>AVERAGE(RAW_PERFORMANCE!F86,RAW_PERFORMANCE!F87,RAW_PERFORMANCE!F88)</f>
        <v/>
      </c>
      <c r="E34" s="47">
        <f>AVERAGE(RAW_PERFORMANCE!G86,RAW_PERFORMANCE!G87,RAW_PERFORMANCE!G88)</f>
        <v/>
      </c>
      <c r="F34" s="47">
        <f>AVERAGE(RAW_PERFORMANCE!H86,RAW_PERFORMANCE!H87,RAW_PERFORMANCE!H88)</f>
        <v/>
      </c>
      <c r="G34" s="47">
        <f>AVERAGE(RAW_PERFORMANCE!I86,RAW_PERFORMANCE!I87,RAW_PERFORMANCE!I88)</f>
        <v/>
      </c>
      <c r="H34" s="48" t="n">
        <v>1</v>
      </c>
      <c r="I34" s="49">
        <f>COUNT(RAW_PERFORMANCE!F86,RAW_PERFORMANCE!F87,RAW_PERFORMANCE!F88)</f>
        <v/>
      </c>
      <c r="J34" s="35">
        <f>AVERAGE(RAW_PERFORMANCE!K86,RAW_PERFORMANCE!K87,RAW_PERFORMANCE!K88)</f>
        <v/>
      </c>
      <c r="K34" s="35">
        <f>AVERAGE(RAW_PERFORMANCE!L86,RAW_PERFORMANCE!L87,RAW_PERFORMANCE!L88)</f>
        <v/>
      </c>
      <c r="L34" s="35">
        <f>AVERAGE(RAW_PERFORMANCE!M86,RAW_PERFORMANCE!M87,RAW_PERFORMANCE!M88)</f>
        <v/>
      </c>
      <c r="M34" s="35">
        <f>AVERAGE(RAW_PERFORMANCE!J86,RAW_PERFORMANCE!J87,RAW_PERFORMANCE!J88)</f>
        <v/>
      </c>
      <c r="N34" s="35">
        <f>AVERAGE(RAW_PERFORMANCE!P86,RAW_PERFORMANCE!P87,RAW_PERFORMANCE!P88)</f>
        <v/>
      </c>
      <c r="O34" s="31" t="inlineStr">
        <is>
          <t>COMPLETED DEVELOPMENT</t>
        </is>
      </c>
      <c r="P34" s="31" t="n"/>
    </row>
    <row r="35" ht="24" customHeight="1">
      <c r="A35" s="31" t="inlineStr">
        <is>
          <t>D005__TECO05</t>
        </is>
      </c>
      <c r="B35" s="31" t="inlineStr">
        <is>
          <t>D005</t>
        </is>
      </c>
      <c r="C35" s="31" t="inlineStr">
        <is>
          <t>TECO05</t>
        </is>
      </c>
      <c r="D35" s="47">
        <f>AVERAGE(RAW_PERFORMANCE!F89,RAW_PERFORMANCE!F90,RAW_PERFORMANCE!F91)</f>
        <v/>
      </c>
      <c r="E35" s="47">
        <f>AVERAGE(RAW_PERFORMANCE!G89,RAW_PERFORMANCE!G90,RAW_PERFORMANCE!G91)</f>
        <v/>
      </c>
      <c r="F35" s="47">
        <f>AVERAGE(RAW_PERFORMANCE!H89,RAW_PERFORMANCE!H90,RAW_PERFORMANCE!H91)</f>
        <v/>
      </c>
      <c r="G35" s="47">
        <f>AVERAGE(RAW_PERFORMANCE!I89,RAW_PERFORMANCE!I90,RAW_PERFORMANCE!I91)</f>
        <v/>
      </c>
      <c r="H35" s="48" t="n">
        <v>0</v>
      </c>
      <c r="I35" s="49">
        <f>COUNT(RAW_PERFORMANCE!F89,RAW_PERFORMANCE!F90,RAW_PERFORMANCE!F91)</f>
        <v/>
      </c>
      <c r="J35" s="35">
        <f>AVERAGE(RAW_PERFORMANCE!K89,RAW_PERFORMANCE!K90,RAW_PERFORMANCE!K91)</f>
        <v/>
      </c>
      <c r="K35" s="35">
        <f>AVERAGE(RAW_PERFORMANCE!L89,RAW_PERFORMANCE!L90,RAW_PERFORMANCE!L91)</f>
        <v/>
      </c>
      <c r="L35" s="35">
        <f>AVERAGE(RAW_PERFORMANCE!M89,RAW_PERFORMANCE!M90,RAW_PERFORMANCE!M91)</f>
        <v/>
      </c>
      <c r="M35" s="35">
        <f>AVERAGE(RAW_PERFORMANCE!J89,RAW_PERFORMANCE!J90,RAW_PERFORMANCE!J91)</f>
        <v/>
      </c>
      <c r="N35" s="35">
        <f>AVERAGE(RAW_PERFORMANCE!P89,RAW_PERFORMANCE!P90,RAW_PERFORMANCE!P91)</f>
        <v/>
      </c>
      <c r="O35" s="31" t="inlineStr">
        <is>
          <t>COMPLETED DEVELOPMENT</t>
        </is>
      </c>
      <c r="P35" s="31" t="n"/>
    </row>
    <row r="36" ht="24" customHeight="1">
      <c r="A36" s="31" t="inlineStr">
        <is>
          <t>D005__TECO10</t>
        </is>
      </c>
      <c r="B36" s="31" t="inlineStr">
        <is>
          <t>D005</t>
        </is>
      </c>
      <c r="C36" s="31" t="inlineStr">
        <is>
          <t>TECO10</t>
        </is>
      </c>
      <c r="D36" s="47">
        <f>AVERAGE(RAW_PERFORMANCE!F92,RAW_PERFORMANCE!F93,RAW_PERFORMANCE!F94)</f>
        <v/>
      </c>
      <c r="E36" s="47">
        <f>AVERAGE(RAW_PERFORMANCE!G92,RAW_PERFORMANCE!G93,RAW_PERFORMANCE!G94)</f>
        <v/>
      </c>
      <c r="F36" s="47">
        <f>AVERAGE(RAW_PERFORMANCE!H92,RAW_PERFORMANCE!H93,RAW_PERFORMANCE!H94)</f>
        <v/>
      </c>
      <c r="G36" s="47">
        <f>AVERAGE(RAW_PERFORMANCE!I92,RAW_PERFORMANCE!I93,RAW_PERFORMANCE!I94)</f>
        <v/>
      </c>
      <c r="H36" s="48" t="n">
        <v>1</v>
      </c>
      <c r="I36" s="49">
        <f>COUNT(RAW_PERFORMANCE!F92,RAW_PERFORMANCE!F93,RAW_PERFORMANCE!F94)</f>
        <v/>
      </c>
      <c r="J36" s="35">
        <f>AVERAGE(RAW_PERFORMANCE!K92,RAW_PERFORMANCE!K93,RAW_PERFORMANCE!K94)</f>
        <v/>
      </c>
      <c r="K36" s="35">
        <f>AVERAGE(RAW_PERFORMANCE!L92,RAW_PERFORMANCE!L93,RAW_PERFORMANCE!L94)</f>
        <v/>
      </c>
      <c r="L36" s="35">
        <f>AVERAGE(RAW_PERFORMANCE!M92,RAW_PERFORMANCE!M93,RAW_PERFORMANCE!M94)</f>
        <v/>
      </c>
      <c r="M36" s="35">
        <f>AVERAGE(RAW_PERFORMANCE!J92,RAW_PERFORMANCE!J93,RAW_PERFORMANCE!J94)</f>
        <v/>
      </c>
      <c r="N36" s="35">
        <f>AVERAGE(RAW_PERFORMANCE!P92,RAW_PERFORMANCE!P93,RAW_PERFORMANCE!P94)</f>
        <v/>
      </c>
      <c r="O36" s="31" t="inlineStr">
        <is>
          <t>COMPLETED DEVELOPMENT</t>
        </is>
      </c>
      <c r="P36" s="31" t="n"/>
    </row>
    <row r="37" ht="24" customHeight="1">
      <c r="A37" s="31" t="inlineStr">
        <is>
          <t>D005__TECO15</t>
        </is>
      </c>
      <c r="B37" s="31" t="inlineStr">
        <is>
          <t>D005</t>
        </is>
      </c>
      <c r="C37" s="31" t="inlineStr">
        <is>
          <t>TECO15</t>
        </is>
      </c>
      <c r="D37" s="47">
        <f>AVERAGE(RAW_PERFORMANCE!F95,RAW_PERFORMANCE!F96,RAW_PERFORMANCE!F97)</f>
        <v/>
      </c>
      <c r="E37" s="47">
        <f>AVERAGE(RAW_PERFORMANCE!G95,RAW_PERFORMANCE!G96,RAW_PERFORMANCE!G97)</f>
        <v/>
      </c>
      <c r="F37" s="47">
        <f>AVERAGE(RAW_PERFORMANCE!H95,RAW_PERFORMANCE!H96,RAW_PERFORMANCE!H97)</f>
        <v/>
      </c>
      <c r="G37" s="47">
        <f>AVERAGE(RAW_PERFORMANCE!I95,RAW_PERFORMANCE!I96,RAW_PERFORMANCE!I97)</f>
        <v/>
      </c>
      <c r="H37" s="48" t="n">
        <v>0</v>
      </c>
      <c r="I37" s="49">
        <f>COUNT(RAW_PERFORMANCE!F95,RAW_PERFORMANCE!F96,RAW_PERFORMANCE!F97)</f>
        <v/>
      </c>
      <c r="J37" s="35">
        <f>AVERAGE(RAW_PERFORMANCE!K95,RAW_PERFORMANCE!K96,RAW_PERFORMANCE!K97)</f>
        <v/>
      </c>
      <c r="K37" s="35">
        <f>AVERAGE(RAW_PERFORMANCE!L95,RAW_PERFORMANCE!L96,RAW_PERFORMANCE!L97)</f>
        <v/>
      </c>
      <c r="L37" s="35">
        <f>AVERAGE(RAW_PERFORMANCE!M95,RAW_PERFORMANCE!M96,RAW_PERFORMANCE!M97)</f>
        <v/>
      </c>
      <c r="M37" s="35">
        <f>AVERAGE(RAW_PERFORMANCE!J95,RAW_PERFORMANCE!J96,RAW_PERFORMANCE!J97)</f>
        <v/>
      </c>
      <c r="N37" s="35">
        <f>AVERAGE(RAW_PERFORMANCE!P95,RAW_PERFORMANCE!P96,RAW_PERFORMANCE!P97)</f>
        <v/>
      </c>
      <c r="O37" s="31" t="inlineStr">
        <is>
          <t>COMPLETED DEVELOPMENT</t>
        </is>
      </c>
      <c r="P37" s="31" t="n"/>
    </row>
    <row r="38" ht="24" customHeight="1">
      <c r="A38" s="31" t="inlineStr">
        <is>
          <t>D006__SP</t>
        </is>
      </c>
      <c r="B38" s="31" t="inlineStr">
        <is>
          <t>D006</t>
        </is>
      </c>
      <c r="C38" s="31" t="inlineStr">
        <is>
          <t>SP</t>
        </is>
      </c>
      <c r="D38" s="47">
        <f>AVERAGE(RAW_PERFORMANCE!F98,RAW_PERFORMANCE!F99,RAW_PERFORMANCE!F100)</f>
        <v/>
      </c>
      <c r="E38" s="47">
        <f>AVERAGE(RAW_PERFORMANCE!G98,RAW_PERFORMANCE!G99,RAW_PERFORMANCE!G100)</f>
        <v/>
      </c>
      <c r="F38" s="47">
        <f>AVERAGE(RAW_PERFORMANCE!H98,RAW_PERFORMANCE!H99,RAW_PERFORMANCE!H100)</f>
        <v/>
      </c>
      <c r="G38" s="47">
        <f>AVERAGE(RAW_PERFORMANCE!I98,RAW_PERFORMANCE!I99,RAW_PERFORMANCE!I100)</f>
        <v/>
      </c>
      <c r="H38" s="48" t="n">
        <v>1</v>
      </c>
      <c r="I38" s="49">
        <f>COUNT(RAW_PERFORMANCE!F98,RAW_PERFORMANCE!F99,RAW_PERFORMANCE!F100)</f>
        <v/>
      </c>
      <c r="J38" s="35">
        <f>AVERAGE(RAW_PERFORMANCE!K98,RAW_PERFORMANCE!K99,RAW_PERFORMANCE!K100)</f>
        <v/>
      </c>
      <c r="K38" s="35">
        <f>AVERAGE(RAW_PERFORMANCE!L98,RAW_PERFORMANCE!L99,RAW_PERFORMANCE!L100)</f>
        <v/>
      </c>
      <c r="L38" s="35">
        <f>AVERAGE(RAW_PERFORMANCE!M98,RAW_PERFORMANCE!M99,RAW_PERFORMANCE!M100)</f>
        <v/>
      </c>
      <c r="M38" s="35">
        <f>AVERAGE(RAW_PERFORMANCE!J98,RAW_PERFORMANCE!J99,RAW_PERFORMANCE!J100)</f>
        <v/>
      </c>
      <c r="N38" s="35">
        <f>AVERAGE(RAW_PERFORMANCE!P98,RAW_PERFORMANCE!P99,RAW_PERFORMANCE!P100)</f>
        <v/>
      </c>
      <c r="O38" s="31" t="inlineStr">
        <is>
          <t>COMPLETED DEVELOPMENT</t>
        </is>
      </c>
      <c r="P38" s="31" t="n"/>
    </row>
    <row r="39" ht="24" customHeight="1">
      <c r="A39" s="31" t="inlineStr">
        <is>
          <t>D006__DTT</t>
        </is>
      </c>
      <c r="B39" s="31" t="inlineStr">
        <is>
          <t>D006</t>
        </is>
      </c>
      <c r="C39" s="31" t="inlineStr">
        <is>
          <t>DTT</t>
        </is>
      </c>
      <c r="D39" s="47">
        <f>AVERAGE(RAW_PERFORMANCE!F101,RAW_PERFORMANCE!F102,RAW_PERFORMANCE!F103)</f>
        <v/>
      </c>
      <c r="E39" s="47">
        <f>AVERAGE(RAW_PERFORMANCE!G101,RAW_PERFORMANCE!G102,RAW_PERFORMANCE!G103)</f>
        <v/>
      </c>
      <c r="F39" s="47">
        <f>AVERAGE(RAW_PERFORMANCE!H101,RAW_PERFORMANCE!H102,RAW_PERFORMANCE!H103)</f>
        <v/>
      </c>
      <c r="G39" s="47">
        <f>AVERAGE(RAW_PERFORMANCE!I101,RAW_PERFORMANCE!I102,RAW_PERFORMANCE!I103)</f>
        <v/>
      </c>
      <c r="H39" s="48" t="n">
        <v>1</v>
      </c>
      <c r="I39" s="49">
        <f>COUNT(RAW_PERFORMANCE!F101,RAW_PERFORMANCE!F102,RAW_PERFORMANCE!F103)</f>
        <v/>
      </c>
      <c r="J39" s="35">
        <f>AVERAGE(RAW_PERFORMANCE!K101,RAW_PERFORMANCE!K102,RAW_PERFORMANCE!K103)</f>
        <v/>
      </c>
      <c r="K39" s="35">
        <f>AVERAGE(RAW_PERFORMANCE!L101,RAW_PERFORMANCE!L102,RAW_PERFORMANCE!L103)</f>
        <v/>
      </c>
      <c r="L39" s="35">
        <f>AVERAGE(RAW_PERFORMANCE!M101,RAW_PERFORMANCE!M102,RAW_PERFORMANCE!M103)</f>
        <v/>
      </c>
      <c r="M39" s="35">
        <f>AVERAGE(RAW_PERFORMANCE!J101,RAW_PERFORMANCE!J102,RAW_PERFORMANCE!J103)</f>
        <v/>
      </c>
      <c r="N39" s="35">
        <f>AVERAGE(RAW_PERFORMANCE!P101,RAW_PERFORMANCE!P102,RAW_PERFORMANCE!P103)</f>
        <v/>
      </c>
      <c r="O39" s="31" t="inlineStr">
        <is>
          <t>COMPLETED DEVELOPMENT</t>
        </is>
      </c>
      <c r="P39" s="31" t="n"/>
    </row>
    <row r="40" ht="24" customHeight="1">
      <c r="A40" s="31" t="inlineStr">
        <is>
          <t>D006__ECO</t>
        </is>
      </c>
      <c r="B40" s="31" t="inlineStr">
        <is>
          <t>D006</t>
        </is>
      </c>
      <c r="C40" s="31" t="inlineStr">
        <is>
          <t>ECO</t>
        </is>
      </c>
      <c r="D40" s="47">
        <f>AVERAGE(RAW_PERFORMANCE!F104,RAW_PERFORMANCE!F105,RAW_PERFORMANCE!F106)</f>
        <v/>
      </c>
      <c r="E40" s="47">
        <f>AVERAGE(RAW_PERFORMANCE!G104,RAW_PERFORMANCE!G105,RAW_PERFORMANCE!G106)</f>
        <v/>
      </c>
      <c r="F40" s="47">
        <f>AVERAGE(RAW_PERFORMANCE!H104,RAW_PERFORMANCE!H105,RAW_PERFORMANCE!H106)</f>
        <v/>
      </c>
      <c r="G40" s="47">
        <f>AVERAGE(RAW_PERFORMANCE!I104,RAW_PERFORMANCE!I105,RAW_PERFORMANCE!I106)</f>
        <v/>
      </c>
      <c r="H40" s="48" t="n">
        <v>1</v>
      </c>
      <c r="I40" s="49">
        <f>COUNT(RAW_PERFORMANCE!F104,RAW_PERFORMANCE!F105,RAW_PERFORMANCE!F106)</f>
        <v/>
      </c>
      <c r="J40" s="35">
        <f>AVERAGE(RAW_PERFORMANCE!K104,RAW_PERFORMANCE!K105,RAW_PERFORMANCE!K106)</f>
        <v/>
      </c>
      <c r="K40" s="35">
        <f>AVERAGE(RAW_PERFORMANCE!L104,RAW_PERFORMANCE!L105,RAW_PERFORMANCE!L106)</f>
        <v/>
      </c>
      <c r="L40" s="35">
        <f>AVERAGE(RAW_PERFORMANCE!M104,RAW_PERFORMANCE!M105,RAW_PERFORMANCE!M106)</f>
        <v/>
      </c>
      <c r="M40" s="35">
        <f>AVERAGE(RAW_PERFORMANCE!J104,RAW_PERFORMANCE!J105,RAW_PERFORMANCE!J106)</f>
        <v/>
      </c>
      <c r="N40" s="35">
        <f>AVERAGE(RAW_PERFORMANCE!P104,RAW_PERFORMANCE!P105,RAW_PERFORMANCE!P106)</f>
        <v/>
      </c>
      <c r="O40" s="31" t="inlineStr">
        <is>
          <t>COMPLETED DEVELOPMENT</t>
        </is>
      </c>
      <c r="P40" s="31" t="n"/>
    </row>
    <row r="41" ht="24" customHeight="1">
      <c r="A41" s="31" t="inlineStr">
        <is>
          <t>D006__TECO05</t>
        </is>
      </c>
      <c r="B41" s="31" t="inlineStr">
        <is>
          <t>D006</t>
        </is>
      </c>
      <c r="C41" s="31" t="inlineStr">
        <is>
          <t>TECO05</t>
        </is>
      </c>
      <c r="D41" s="47">
        <f>AVERAGE(RAW_PERFORMANCE!F107,RAW_PERFORMANCE!F108,RAW_PERFORMANCE!F109)</f>
        <v/>
      </c>
      <c r="E41" s="47">
        <f>AVERAGE(RAW_PERFORMANCE!G107,RAW_PERFORMANCE!G108,RAW_PERFORMANCE!G109)</f>
        <v/>
      </c>
      <c r="F41" s="47">
        <f>AVERAGE(RAW_PERFORMANCE!H107,RAW_PERFORMANCE!H108,RAW_PERFORMANCE!H109)</f>
        <v/>
      </c>
      <c r="G41" s="47">
        <f>AVERAGE(RAW_PERFORMANCE!I107,RAW_PERFORMANCE!I108,RAW_PERFORMANCE!I109)</f>
        <v/>
      </c>
      <c r="H41" s="48" t="n">
        <v>0</v>
      </c>
      <c r="I41" s="49">
        <f>COUNT(RAW_PERFORMANCE!F107,RAW_PERFORMANCE!F108,RAW_PERFORMANCE!F109)</f>
        <v/>
      </c>
      <c r="J41" s="35">
        <f>AVERAGE(RAW_PERFORMANCE!K107,RAW_PERFORMANCE!K108,RAW_PERFORMANCE!K109)</f>
        <v/>
      </c>
      <c r="K41" s="35">
        <f>AVERAGE(RAW_PERFORMANCE!L107,RAW_PERFORMANCE!L108,RAW_PERFORMANCE!L109)</f>
        <v/>
      </c>
      <c r="L41" s="35">
        <f>AVERAGE(RAW_PERFORMANCE!M107,RAW_PERFORMANCE!M108,RAW_PERFORMANCE!M109)</f>
        <v/>
      </c>
      <c r="M41" s="35">
        <f>AVERAGE(RAW_PERFORMANCE!J107,RAW_PERFORMANCE!J108,RAW_PERFORMANCE!J109)</f>
        <v/>
      </c>
      <c r="N41" s="35">
        <f>AVERAGE(RAW_PERFORMANCE!P107,RAW_PERFORMANCE!P108,RAW_PERFORMANCE!P109)</f>
        <v/>
      </c>
      <c r="O41" s="31" t="inlineStr">
        <is>
          <t>COMPLETED DEVELOPMENT</t>
        </is>
      </c>
      <c r="P41" s="31" t="n"/>
    </row>
    <row r="42" ht="24" customHeight="1">
      <c r="A42" s="31" t="inlineStr">
        <is>
          <t>D006__TECO10</t>
        </is>
      </c>
      <c r="B42" s="31" t="inlineStr">
        <is>
          <t>D006</t>
        </is>
      </c>
      <c r="C42" s="31" t="inlineStr">
        <is>
          <t>TECO10</t>
        </is>
      </c>
      <c r="D42" s="47">
        <f>AVERAGE(RAW_PERFORMANCE!F110,RAW_PERFORMANCE!F111,RAW_PERFORMANCE!F112)</f>
        <v/>
      </c>
      <c r="E42" s="47">
        <f>AVERAGE(RAW_PERFORMANCE!G110,RAW_PERFORMANCE!G111,RAW_PERFORMANCE!G112)</f>
        <v/>
      </c>
      <c r="F42" s="47">
        <f>AVERAGE(RAW_PERFORMANCE!H110,RAW_PERFORMANCE!H111,RAW_PERFORMANCE!H112)</f>
        <v/>
      </c>
      <c r="G42" s="47">
        <f>AVERAGE(RAW_PERFORMANCE!I110,RAW_PERFORMANCE!I111,RAW_PERFORMANCE!I112)</f>
        <v/>
      </c>
      <c r="H42" s="48" t="n">
        <v>1</v>
      </c>
      <c r="I42" s="49">
        <f>COUNT(RAW_PERFORMANCE!F110,RAW_PERFORMANCE!F111,RAW_PERFORMANCE!F112)</f>
        <v/>
      </c>
      <c r="J42" s="35">
        <f>AVERAGE(RAW_PERFORMANCE!K110,RAW_PERFORMANCE!K111,RAW_PERFORMANCE!K112)</f>
        <v/>
      </c>
      <c r="K42" s="35">
        <f>AVERAGE(RAW_PERFORMANCE!L110,RAW_PERFORMANCE!L111,RAW_PERFORMANCE!L112)</f>
        <v/>
      </c>
      <c r="L42" s="35">
        <f>AVERAGE(RAW_PERFORMANCE!M110,RAW_PERFORMANCE!M111,RAW_PERFORMANCE!M112)</f>
        <v/>
      </c>
      <c r="M42" s="35">
        <f>AVERAGE(RAW_PERFORMANCE!J110,RAW_PERFORMANCE!J111,RAW_PERFORMANCE!J112)</f>
        <v/>
      </c>
      <c r="N42" s="35">
        <f>AVERAGE(RAW_PERFORMANCE!P110,RAW_PERFORMANCE!P111,RAW_PERFORMANCE!P112)</f>
        <v/>
      </c>
      <c r="O42" s="31" t="inlineStr">
        <is>
          <t>COMPLETED DEVELOPMENT</t>
        </is>
      </c>
      <c r="P42" s="31" t="n"/>
    </row>
    <row r="43" ht="24" customHeight="1">
      <c r="A43" s="31" t="inlineStr">
        <is>
          <t>D006__TECO15</t>
        </is>
      </c>
      <c r="B43" s="31" t="inlineStr">
        <is>
          <t>D006</t>
        </is>
      </c>
      <c r="C43" s="31" t="inlineStr">
        <is>
          <t>TECO15</t>
        </is>
      </c>
      <c r="D43" s="47">
        <f>AVERAGE(RAW_PERFORMANCE!F113,RAW_PERFORMANCE!F114,RAW_PERFORMANCE!F115)</f>
        <v/>
      </c>
      <c r="E43" s="47">
        <f>AVERAGE(RAW_PERFORMANCE!G113,RAW_PERFORMANCE!G114,RAW_PERFORMANCE!G115)</f>
        <v/>
      </c>
      <c r="F43" s="47">
        <f>AVERAGE(RAW_PERFORMANCE!H113,RAW_PERFORMANCE!H114,RAW_PERFORMANCE!H115)</f>
        <v/>
      </c>
      <c r="G43" s="47">
        <f>AVERAGE(RAW_PERFORMANCE!I113,RAW_PERFORMANCE!I114,RAW_PERFORMANCE!I115)</f>
        <v/>
      </c>
      <c r="H43" s="48" t="n">
        <v>0</v>
      </c>
      <c r="I43" s="49">
        <f>COUNT(RAW_PERFORMANCE!F113,RAW_PERFORMANCE!F114,RAW_PERFORMANCE!F115)</f>
        <v/>
      </c>
      <c r="J43" s="35">
        <f>AVERAGE(RAW_PERFORMANCE!K113,RAW_PERFORMANCE!K114,RAW_PERFORMANCE!K115)</f>
        <v/>
      </c>
      <c r="K43" s="35">
        <f>AVERAGE(RAW_PERFORMANCE!L113,RAW_PERFORMANCE!L114,RAW_PERFORMANCE!L115)</f>
        <v/>
      </c>
      <c r="L43" s="35">
        <f>AVERAGE(RAW_PERFORMANCE!M113,RAW_PERFORMANCE!M114,RAW_PERFORMANCE!M115)</f>
        <v/>
      </c>
      <c r="M43" s="35">
        <f>AVERAGE(RAW_PERFORMANCE!J113,RAW_PERFORMANCE!J114,RAW_PERFORMANCE!J115)</f>
        <v/>
      </c>
      <c r="N43" s="35">
        <f>AVERAGE(RAW_PERFORMANCE!P113,RAW_PERFORMANCE!P114,RAW_PERFORMANCE!P115)</f>
        <v/>
      </c>
      <c r="O43" s="31" t="inlineStr">
        <is>
          <t>COMPLETED DEVELOPMENT</t>
        </is>
      </c>
      <c r="P43" s="31" t="n"/>
    </row>
    <row r="44" ht="24" customHeight="1">
      <c r="A44" s="31" t="inlineStr">
        <is>
          <t>D007__SP</t>
        </is>
      </c>
      <c r="B44" s="31" t="inlineStr">
        <is>
          <t>D007</t>
        </is>
      </c>
      <c r="C44" s="31" t="inlineStr">
        <is>
          <t>SP</t>
        </is>
      </c>
      <c r="D44" s="47">
        <f>AVERAGE(RAW_PERFORMANCE!F116,RAW_PERFORMANCE!F117,RAW_PERFORMANCE!F118)</f>
        <v/>
      </c>
      <c r="E44" s="47">
        <f>AVERAGE(RAW_PERFORMANCE!G116,RAW_PERFORMANCE!G117,RAW_PERFORMANCE!G118)</f>
        <v/>
      </c>
      <c r="F44" s="47">
        <f>AVERAGE(RAW_PERFORMANCE!H116,RAW_PERFORMANCE!H117,RAW_PERFORMANCE!H118)</f>
        <v/>
      </c>
      <c r="G44" s="47">
        <f>AVERAGE(RAW_PERFORMANCE!I116,RAW_PERFORMANCE!I117,RAW_PERFORMANCE!I118)</f>
        <v/>
      </c>
      <c r="H44" s="48" t="n">
        <v>1</v>
      </c>
      <c r="I44" s="49">
        <f>COUNT(RAW_PERFORMANCE!F116,RAW_PERFORMANCE!F117,RAW_PERFORMANCE!F118)</f>
        <v/>
      </c>
      <c r="J44" s="35">
        <f>AVERAGE(RAW_PERFORMANCE!K116,RAW_PERFORMANCE!K117,RAW_PERFORMANCE!K118)</f>
        <v/>
      </c>
      <c r="K44" s="35">
        <f>AVERAGE(RAW_PERFORMANCE!L116,RAW_PERFORMANCE!L117,RAW_PERFORMANCE!L118)</f>
        <v/>
      </c>
      <c r="L44" s="35">
        <f>AVERAGE(RAW_PERFORMANCE!M116,RAW_PERFORMANCE!M117,RAW_PERFORMANCE!M118)</f>
        <v/>
      </c>
      <c r="M44" s="35">
        <f>AVERAGE(RAW_PERFORMANCE!J116,RAW_PERFORMANCE!J117,RAW_PERFORMANCE!J118)</f>
        <v/>
      </c>
      <c r="N44" s="35">
        <f>AVERAGE(RAW_PERFORMANCE!P116,RAW_PERFORMANCE!P117,RAW_PERFORMANCE!P118)</f>
        <v/>
      </c>
      <c r="O44" s="31" t="inlineStr">
        <is>
          <t>COMPLETED DEVELOPMENT</t>
        </is>
      </c>
      <c r="P44" s="31" t="n"/>
    </row>
    <row r="45" ht="24" customHeight="1">
      <c r="A45" s="31" t="inlineStr">
        <is>
          <t>D007__DTT</t>
        </is>
      </c>
      <c r="B45" s="31" t="inlineStr">
        <is>
          <t>D007</t>
        </is>
      </c>
      <c r="C45" s="31" t="inlineStr">
        <is>
          <t>DTT</t>
        </is>
      </c>
      <c r="D45" s="47">
        <f>AVERAGE(RAW_PERFORMANCE!F119,RAW_PERFORMANCE!F120,RAW_PERFORMANCE!F121)</f>
        <v/>
      </c>
      <c r="E45" s="47">
        <f>AVERAGE(RAW_PERFORMANCE!G119,RAW_PERFORMANCE!G120,RAW_PERFORMANCE!G121)</f>
        <v/>
      </c>
      <c r="F45" s="47">
        <f>AVERAGE(RAW_PERFORMANCE!H119,RAW_PERFORMANCE!H120,RAW_PERFORMANCE!H121)</f>
        <v/>
      </c>
      <c r="G45" s="47">
        <f>AVERAGE(RAW_PERFORMANCE!I119,RAW_PERFORMANCE!I120,RAW_PERFORMANCE!I121)</f>
        <v/>
      </c>
      <c r="H45" s="48" t="n">
        <v>1</v>
      </c>
      <c r="I45" s="49">
        <f>COUNT(RAW_PERFORMANCE!F119,RAW_PERFORMANCE!F120,RAW_PERFORMANCE!F121)</f>
        <v/>
      </c>
      <c r="J45" s="35">
        <f>AVERAGE(RAW_PERFORMANCE!K119,RAW_PERFORMANCE!K120,RAW_PERFORMANCE!K121)</f>
        <v/>
      </c>
      <c r="K45" s="35">
        <f>AVERAGE(RAW_PERFORMANCE!L119,RAW_PERFORMANCE!L120,RAW_PERFORMANCE!L121)</f>
        <v/>
      </c>
      <c r="L45" s="35">
        <f>AVERAGE(RAW_PERFORMANCE!M119,RAW_PERFORMANCE!M120,RAW_PERFORMANCE!M121)</f>
        <v/>
      </c>
      <c r="M45" s="35">
        <f>AVERAGE(RAW_PERFORMANCE!J119,RAW_PERFORMANCE!J120,RAW_PERFORMANCE!J121)</f>
        <v/>
      </c>
      <c r="N45" s="35">
        <f>AVERAGE(RAW_PERFORMANCE!P119,RAW_PERFORMANCE!P120,RAW_PERFORMANCE!P121)</f>
        <v/>
      </c>
      <c r="O45" s="31" t="inlineStr">
        <is>
          <t>COMPLETED DEVELOPMENT</t>
        </is>
      </c>
      <c r="P45" s="31" t="n"/>
    </row>
    <row r="46" ht="24" customHeight="1">
      <c r="A46" s="31" t="inlineStr">
        <is>
          <t>D007__ECO</t>
        </is>
      </c>
      <c r="B46" s="31" t="inlineStr">
        <is>
          <t>D007</t>
        </is>
      </c>
      <c r="C46" s="31" t="inlineStr">
        <is>
          <t>ECO</t>
        </is>
      </c>
      <c r="D46" s="47">
        <f>AVERAGE(RAW_PERFORMANCE!F122,RAW_PERFORMANCE!F123,RAW_PERFORMANCE!F124)</f>
        <v/>
      </c>
      <c r="E46" s="47">
        <f>AVERAGE(RAW_PERFORMANCE!G122,RAW_PERFORMANCE!G123,RAW_PERFORMANCE!G124)</f>
        <v/>
      </c>
      <c r="F46" s="47">
        <f>AVERAGE(RAW_PERFORMANCE!H122,RAW_PERFORMANCE!H123,RAW_PERFORMANCE!H124)</f>
        <v/>
      </c>
      <c r="G46" s="47">
        <f>AVERAGE(RAW_PERFORMANCE!I122,RAW_PERFORMANCE!I123,RAW_PERFORMANCE!I124)</f>
        <v/>
      </c>
      <c r="H46" s="48" t="n">
        <v>1</v>
      </c>
      <c r="I46" s="49">
        <f>COUNT(RAW_PERFORMANCE!F122,RAW_PERFORMANCE!F123,RAW_PERFORMANCE!F124)</f>
        <v/>
      </c>
      <c r="J46" s="35">
        <f>AVERAGE(RAW_PERFORMANCE!K122,RAW_PERFORMANCE!K123,RAW_PERFORMANCE!K124)</f>
        <v/>
      </c>
      <c r="K46" s="35">
        <f>AVERAGE(RAW_PERFORMANCE!L122,RAW_PERFORMANCE!L123,RAW_PERFORMANCE!L124)</f>
        <v/>
      </c>
      <c r="L46" s="35">
        <f>AVERAGE(RAW_PERFORMANCE!M122,RAW_PERFORMANCE!M123,RAW_PERFORMANCE!M124)</f>
        <v/>
      </c>
      <c r="M46" s="35">
        <f>AVERAGE(RAW_PERFORMANCE!J122,RAW_PERFORMANCE!J123,RAW_PERFORMANCE!J124)</f>
        <v/>
      </c>
      <c r="N46" s="35">
        <f>AVERAGE(RAW_PERFORMANCE!P122,RAW_PERFORMANCE!P123,RAW_PERFORMANCE!P124)</f>
        <v/>
      </c>
      <c r="O46" s="31" t="inlineStr">
        <is>
          <t>COMPLETED DEVELOPMENT</t>
        </is>
      </c>
      <c r="P46" s="31" t="n"/>
    </row>
    <row r="47" ht="24" customHeight="1">
      <c r="A47" s="31" t="inlineStr">
        <is>
          <t>D007__TECO05</t>
        </is>
      </c>
      <c r="B47" s="31" t="inlineStr">
        <is>
          <t>D007</t>
        </is>
      </c>
      <c r="C47" s="31" t="inlineStr">
        <is>
          <t>TECO05</t>
        </is>
      </c>
      <c r="D47" s="47">
        <f>AVERAGE(RAW_PERFORMANCE!F125,RAW_PERFORMANCE!F126,RAW_PERFORMANCE!F127)</f>
        <v/>
      </c>
      <c r="E47" s="47">
        <f>AVERAGE(RAW_PERFORMANCE!G125,RAW_PERFORMANCE!G126,RAW_PERFORMANCE!G127)</f>
        <v/>
      </c>
      <c r="F47" s="47">
        <f>AVERAGE(RAW_PERFORMANCE!H125,RAW_PERFORMANCE!H126,RAW_PERFORMANCE!H127)</f>
        <v/>
      </c>
      <c r="G47" s="47">
        <f>AVERAGE(RAW_PERFORMANCE!I125,RAW_PERFORMANCE!I126,RAW_PERFORMANCE!I127)</f>
        <v/>
      </c>
      <c r="H47" s="48" t="n">
        <v>0</v>
      </c>
      <c r="I47" s="49">
        <f>COUNT(RAW_PERFORMANCE!F125,RAW_PERFORMANCE!F126,RAW_PERFORMANCE!F127)</f>
        <v/>
      </c>
      <c r="J47" s="35">
        <f>AVERAGE(RAW_PERFORMANCE!K125,RAW_PERFORMANCE!K126,RAW_PERFORMANCE!K127)</f>
        <v/>
      </c>
      <c r="K47" s="35">
        <f>AVERAGE(RAW_PERFORMANCE!L125,RAW_PERFORMANCE!L126,RAW_PERFORMANCE!L127)</f>
        <v/>
      </c>
      <c r="L47" s="35">
        <f>AVERAGE(RAW_PERFORMANCE!M125,RAW_PERFORMANCE!M126,RAW_PERFORMANCE!M127)</f>
        <v/>
      </c>
      <c r="M47" s="35">
        <f>AVERAGE(RAW_PERFORMANCE!J125,RAW_PERFORMANCE!J126,RAW_PERFORMANCE!J127)</f>
        <v/>
      </c>
      <c r="N47" s="35">
        <f>AVERAGE(RAW_PERFORMANCE!P125,RAW_PERFORMANCE!P126,RAW_PERFORMANCE!P127)</f>
        <v/>
      </c>
      <c r="O47" s="31" t="inlineStr">
        <is>
          <t>COMPLETED DEVELOPMENT</t>
        </is>
      </c>
      <c r="P47" s="31" t="n"/>
    </row>
    <row r="48" ht="24" customHeight="1">
      <c r="A48" s="31" t="inlineStr">
        <is>
          <t>D007__TECO10</t>
        </is>
      </c>
      <c r="B48" s="31" t="inlineStr">
        <is>
          <t>D007</t>
        </is>
      </c>
      <c r="C48" s="31" t="inlineStr">
        <is>
          <t>TECO10</t>
        </is>
      </c>
      <c r="D48" s="47">
        <f>AVERAGE(RAW_PERFORMANCE!F128,RAW_PERFORMANCE!F129,RAW_PERFORMANCE!F130)</f>
        <v/>
      </c>
      <c r="E48" s="47">
        <f>AVERAGE(RAW_PERFORMANCE!G128,RAW_PERFORMANCE!G129,RAW_PERFORMANCE!G130)</f>
        <v/>
      </c>
      <c r="F48" s="47">
        <f>AVERAGE(RAW_PERFORMANCE!H128,RAW_PERFORMANCE!H129,RAW_PERFORMANCE!H130)</f>
        <v/>
      </c>
      <c r="G48" s="47">
        <f>AVERAGE(RAW_PERFORMANCE!I128,RAW_PERFORMANCE!I129,RAW_PERFORMANCE!I130)</f>
        <v/>
      </c>
      <c r="H48" s="48" t="n">
        <v>1</v>
      </c>
      <c r="I48" s="49">
        <f>COUNT(RAW_PERFORMANCE!F128,RAW_PERFORMANCE!F129,RAW_PERFORMANCE!F130)</f>
        <v/>
      </c>
      <c r="J48" s="35">
        <f>AVERAGE(RAW_PERFORMANCE!K128,RAW_PERFORMANCE!K129,RAW_PERFORMANCE!K130)</f>
        <v/>
      </c>
      <c r="K48" s="35">
        <f>AVERAGE(RAW_PERFORMANCE!L128,RAW_PERFORMANCE!L129,RAW_PERFORMANCE!L130)</f>
        <v/>
      </c>
      <c r="L48" s="35">
        <f>AVERAGE(RAW_PERFORMANCE!M128,RAW_PERFORMANCE!M129,RAW_PERFORMANCE!M130)</f>
        <v/>
      </c>
      <c r="M48" s="35">
        <f>AVERAGE(RAW_PERFORMANCE!J128,RAW_PERFORMANCE!J129,RAW_PERFORMANCE!J130)</f>
        <v/>
      </c>
      <c r="N48" s="35">
        <f>AVERAGE(RAW_PERFORMANCE!P128,RAW_PERFORMANCE!P129,RAW_PERFORMANCE!P130)</f>
        <v/>
      </c>
      <c r="O48" s="31" t="inlineStr">
        <is>
          <t>COMPLETED DEVELOPMENT</t>
        </is>
      </c>
      <c r="P48" s="31" t="n"/>
    </row>
    <row r="49" ht="24" customHeight="1">
      <c r="A49" s="31" t="inlineStr">
        <is>
          <t>D007__TECO15</t>
        </is>
      </c>
      <c r="B49" s="31" t="inlineStr">
        <is>
          <t>D007</t>
        </is>
      </c>
      <c r="C49" s="31" t="inlineStr">
        <is>
          <t>TECO15</t>
        </is>
      </c>
      <c r="D49" s="47">
        <f>AVERAGE(RAW_PERFORMANCE!F131,RAW_PERFORMANCE!F132,RAW_PERFORMANCE!F133)</f>
        <v/>
      </c>
      <c r="E49" s="47">
        <f>AVERAGE(RAW_PERFORMANCE!G131,RAW_PERFORMANCE!G132,RAW_PERFORMANCE!G133)</f>
        <v/>
      </c>
      <c r="F49" s="47">
        <f>AVERAGE(RAW_PERFORMANCE!H131,RAW_PERFORMANCE!H132,RAW_PERFORMANCE!H133)</f>
        <v/>
      </c>
      <c r="G49" s="47">
        <f>AVERAGE(RAW_PERFORMANCE!I131,RAW_PERFORMANCE!I132,RAW_PERFORMANCE!I133)</f>
        <v/>
      </c>
      <c r="H49" s="48" t="n">
        <v>0</v>
      </c>
      <c r="I49" s="49">
        <f>COUNT(RAW_PERFORMANCE!F131,RAW_PERFORMANCE!F132,RAW_PERFORMANCE!F133)</f>
        <v/>
      </c>
      <c r="J49" s="35">
        <f>AVERAGE(RAW_PERFORMANCE!K131,RAW_PERFORMANCE!K132,RAW_PERFORMANCE!K133)</f>
        <v/>
      </c>
      <c r="K49" s="35">
        <f>AVERAGE(RAW_PERFORMANCE!L131,RAW_PERFORMANCE!L132,RAW_PERFORMANCE!L133)</f>
        <v/>
      </c>
      <c r="L49" s="35">
        <f>AVERAGE(RAW_PERFORMANCE!M131,RAW_PERFORMANCE!M132,RAW_PERFORMANCE!M133)</f>
        <v/>
      </c>
      <c r="M49" s="35">
        <f>AVERAGE(RAW_PERFORMANCE!J131,RAW_PERFORMANCE!J132,RAW_PERFORMANCE!J133)</f>
        <v/>
      </c>
      <c r="N49" s="35">
        <f>AVERAGE(RAW_PERFORMANCE!P131,RAW_PERFORMANCE!P132,RAW_PERFORMANCE!P133)</f>
        <v/>
      </c>
      <c r="O49" s="31" t="inlineStr">
        <is>
          <t>COMPLETED DEVELOPMENT</t>
        </is>
      </c>
      <c r="P49" s="31" t="n"/>
    </row>
    <row r="50" ht="24" customHeight="1">
      <c r="A50" s="31" t="inlineStr">
        <is>
          <t>D008__SP</t>
        </is>
      </c>
      <c r="B50" s="31" t="inlineStr">
        <is>
          <t>D008</t>
        </is>
      </c>
      <c r="C50" s="31" t="inlineStr">
        <is>
          <t>SP</t>
        </is>
      </c>
      <c r="D50" s="47">
        <f>AVERAGE(RAW_PERFORMANCE!F134,RAW_PERFORMANCE!F135,RAW_PERFORMANCE!F136)</f>
        <v/>
      </c>
      <c r="E50" s="47">
        <f>AVERAGE(RAW_PERFORMANCE!G134,RAW_PERFORMANCE!G135,RAW_PERFORMANCE!G136)</f>
        <v/>
      </c>
      <c r="F50" s="47">
        <f>AVERAGE(RAW_PERFORMANCE!H134,RAW_PERFORMANCE!H135,RAW_PERFORMANCE!H136)</f>
        <v/>
      </c>
      <c r="G50" s="47">
        <f>AVERAGE(RAW_PERFORMANCE!I134,RAW_PERFORMANCE!I135,RAW_PERFORMANCE!I136)</f>
        <v/>
      </c>
      <c r="H50" s="48" t="n">
        <v>1</v>
      </c>
      <c r="I50" s="49">
        <f>COUNT(RAW_PERFORMANCE!F134,RAW_PERFORMANCE!F135,RAW_PERFORMANCE!F136)</f>
        <v/>
      </c>
      <c r="J50" s="35">
        <f>AVERAGE(RAW_PERFORMANCE!K134,RAW_PERFORMANCE!K135,RAW_PERFORMANCE!K136)</f>
        <v/>
      </c>
      <c r="K50" s="35">
        <f>AVERAGE(RAW_PERFORMANCE!L134,RAW_PERFORMANCE!L135,RAW_PERFORMANCE!L136)</f>
        <v/>
      </c>
      <c r="L50" s="35">
        <f>AVERAGE(RAW_PERFORMANCE!M134,RAW_PERFORMANCE!M135,RAW_PERFORMANCE!M136)</f>
        <v/>
      </c>
      <c r="M50" s="35">
        <f>AVERAGE(RAW_PERFORMANCE!J134,RAW_PERFORMANCE!J135,RAW_PERFORMANCE!J136)</f>
        <v/>
      </c>
      <c r="N50" s="35">
        <f>AVERAGE(RAW_PERFORMANCE!P134,RAW_PERFORMANCE!P135,RAW_PERFORMANCE!P136)</f>
        <v/>
      </c>
      <c r="O50" s="31" t="inlineStr">
        <is>
          <t>COMPLETED DEVELOPMENT</t>
        </is>
      </c>
      <c r="P50" s="31" t="n"/>
    </row>
    <row r="51" ht="24" customHeight="1">
      <c r="A51" s="31" t="inlineStr">
        <is>
          <t>D008__DTT</t>
        </is>
      </c>
      <c r="B51" s="31" t="inlineStr">
        <is>
          <t>D008</t>
        </is>
      </c>
      <c r="C51" s="31" t="inlineStr">
        <is>
          <t>DTT</t>
        </is>
      </c>
      <c r="D51" s="47">
        <f>AVERAGE(RAW_PERFORMANCE!F137,RAW_PERFORMANCE!F138,RAW_PERFORMANCE!F139)</f>
        <v/>
      </c>
      <c r="E51" s="47">
        <f>AVERAGE(RAW_PERFORMANCE!G137,RAW_PERFORMANCE!G138,RAW_PERFORMANCE!G139)</f>
        <v/>
      </c>
      <c r="F51" s="47">
        <f>AVERAGE(RAW_PERFORMANCE!H137,RAW_PERFORMANCE!H138,RAW_PERFORMANCE!H139)</f>
        <v/>
      </c>
      <c r="G51" s="47">
        <f>AVERAGE(RAW_PERFORMANCE!I137,RAW_PERFORMANCE!I138,RAW_PERFORMANCE!I139)</f>
        <v/>
      </c>
      <c r="H51" s="48" t="n">
        <v>1</v>
      </c>
      <c r="I51" s="49">
        <f>COUNT(RAW_PERFORMANCE!F137,RAW_PERFORMANCE!F138,RAW_PERFORMANCE!F139)</f>
        <v/>
      </c>
      <c r="J51" s="35">
        <f>AVERAGE(RAW_PERFORMANCE!K137,RAW_PERFORMANCE!K138,RAW_PERFORMANCE!K139)</f>
        <v/>
      </c>
      <c r="K51" s="35">
        <f>AVERAGE(RAW_PERFORMANCE!L137,RAW_PERFORMANCE!L138,RAW_PERFORMANCE!L139)</f>
        <v/>
      </c>
      <c r="L51" s="35">
        <f>AVERAGE(RAW_PERFORMANCE!M137,RAW_PERFORMANCE!M138,RAW_PERFORMANCE!M139)</f>
        <v/>
      </c>
      <c r="M51" s="35">
        <f>AVERAGE(RAW_PERFORMANCE!J137,RAW_PERFORMANCE!J138,RAW_PERFORMANCE!J139)</f>
        <v/>
      </c>
      <c r="N51" s="35">
        <f>AVERAGE(RAW_PERFORMANCE!P137,RAW_PERFORMANCE!P138,RAW_PERFORMANCE!P139)</f>
        <v/>
      </c>
      <c r="O51" s="31" t="inlineStr">
        <is>
          <t>COMPLETED DEVELOPMENT</t>
        </is>
      </c>
      <c r="P51" s="31" t="n"/>
    </row>
    <row r="52" ht="24" customHeight="1">
      <c r="A52" s="31" t="inlineStr">
        <is>
          <t>D008__ECO</t>
        </is>
      </c>
      <c r="B52" s="31" t="inlineStr">
        <is>
          <t>D008</t>
        </is>
      </c>
      <c r="C52" s="31" t="inlineStr">
        <is>
          <t>ECO</t>
        </is>
      </c>
      <c r="D52" s="47">
        <f>AVERAGE(RAW_PERFORMANCE!F140,RAW_PERFORMANCE!F141,RAW_PERFORMANCE!F142)</f>
        <v/>
      </c>
      <c r="E52" s="47">
        <f>AVERAGE(RAW_PERFORMANCE!G140,RAW_PERFORMANCE!G141,RAW_PERFORMANCE!G142)</f>
        <v/>
      </c>
      <c r="F52" s="47">
        <f>AVERAGE(RAW_PERFORMANCE!H140,RAW_PERFORMANCE!H141,RAW_PERFORMANCE!H142)</f>
        <v/>
      </c>
      <c r="G52" s="47">
        <f>AVERAGE(RAW_PERFORMANCE!I140,RAW_PERFORMANCE!I141,RAW_PERFORMANCE!I142)</f>
        <v/>
      </c>
      <c r="H52" s="48" t="n">
        <v>1</v>
      </c>
      <c r="I52" s="49">
        <f>COUNT(RAW_PERFORMANCE!F140,RAW_PERFORMANCE!F141,RAW_PERFORMANCE!F142)</f>
        <v/>
      </c>
      <c r="J52" s="35">
        <f>AVERAGE(RAW_PERFORMANCE!K140,RAW_PERFORMANCE!K141,RAW_PERFORMANCE!K142)</f>
        <v/>
      </c>
      <c r="K52" s="35">
        <f>AVERAGE(RAW_PERFORMANCE!L140,RAW_PERFORMANCE!L141,RAW_PERFORMANCE!L142)</f>
        <v/>
      </c>
      <c r="L52" s="35">
        <f>AVERAGE(RAW_PERFORMANCE!M140,RAW_PERFORMANCE!M141,RAW_PERFORMANCE!M142)</f>
        <v/>
      </c>
      <c r="M52" s="35">
        <f>AVERAGE(RAW_PERFORMANCE!J140,RAW_PERFORMANCE!J141,RAW_PERFORMANCE!J142)</f>
        <v/>
      </c>
      <c r="N52" s="35">
        <f>AVERAGE(RAW_PERFORMANCE!P140,RAW_PERFORMANCE!P141,RAW_PERFORMANCE!P142)</f>
        <v/>
      </c>
      <c r="O52" s="31" t="inlineStr">
        <is>
          <t>COMPLETED DEVELOPMENT</t>
        </is>
      </c>
      <c r="P52" s="31" t="n"/>
    </row>
    <row r="53" ht="24" customHeight="1">
      <c r="A53" s="31" t="inlineStr">
        <is>
          <t>D008__TECO05</t>
        </is>
      </c>
      <c r="B53" s="31" t="inlineStr">
        <is>
          <t>D008</t>
        </is>
      </c>
      <c r="C53" s="31" t="inlineStr">
        <is>
          <t>TECO05</t>
        </is>
      </c>
      <c r="D53" s="47">
        <f>AVERAGE(RAW_PERFORMANCE!F143,RAW_PERFORMANCE!F144,RAW_PERFORMANCE!F145)</f>
        <v/>
      </c>
      <c r="E53" s="47">
        <f>AVERAGE(RAW_PERFORMANCE!G143,RAW_PERFORMANCE!G144,RAW_PERFORMANCE!G145)</f>
        <v/>
      </c>
      <c r="F53" s="47">
        <f>AVERAGE(RAW_PERFORMANCE!H143,RAW_PERFORMANCE!H144,RAW_PERFORMANCE!H145)</f>
        <v/>
      </c>
      <c r="G53" s="47">
        <f>AVERAGE(RAW_PERFORMANCE!I143,RAW_PERFORMANCE!I144,RAW_PERFORMANCE!I145)</f>
        <v/>
      </c>
      <c r="H53" s="48" t="n">
        <v>0</v>
      </c>
      <c r="I53" s="49">
        <f>COUNT(RAW_PERFORMANCE!F143,RAW_PERFORMANCE!F144,RAW_PERFORMANCE!F145)</f>
        <v/>
      </c>
      <c r="J53" s="35">
        <f>AVERAGE(RAW_PERFORMANCE!K143,RAW_PERFORMANCE!K144,RAW_PERFORMANCE!K145)</f>
        <v/>
      </c>
      <c r="K53" s="35">
        <f>AVERAGE(RAW_PERFORMANCE!L143,RAW_PERFORMANCE!L144,RAW_PERFORMANCE!L145)</f>
        <v/>
      </c>
      <c r="L53" s="35">
        <f>AVERAGE(RAW_PERFORMANCE!M143,RAW_PERFORMANCE!M144,RAW_PERFORMANCE!M145)</f>
        <v/>
      </c>
      <c r="M53" s="35">
        <f>AVERAGE(RAW_PERFORMANCE!J143,RAW_PERFORMANCE!J144,RAW_PERFORMANCE!J145)</f>
        <v/>
      </c>
      <c r="N53" s="35">
        <f>AVERAGE(RAW_PERFORMANCE!P143,RAW_PERFORMANCE!P144,RAW_PERFORMANCE!P145)</f>
        <v/>
      </c>
      <c r="O53" s="31" t="inlineStr">
        <is>
          <t>COMPLETED DEVELOPMENT</t>
        </is>
      </c>
      <c r="P53" s="31" t="n"/>
    </row>
    <row r="54" ht="24" customHeight="1">
      <c r="A54" s="31" t="inlineStr">
        <is>
          <t>D008__TECO10</t>
        </is>
      </c>
      <c r="B54" s="31" t="inlineStr">
        <is>
          <t>D008</t>
        </is>
      </c>
      <c r="C54" s="31" t="inlineStr">
        <is>
          <t>TECO10</t>
        </is>
      </c>
      <c r="D54" s="47">
        <f>AVERAGE(RAW_PERFORMANCE!F146,RAW_PERFORMANCE!F147,RAW_PERFORMANCE!F148)</f>
        <v/>
      </c>
      <c r="E54" s="47">
        <f>AVERAGE(RAW_PERFORMANCE!G146,RAW_PERFORMANCE!G147,RAW_PERFORMANCE!G148)</f>
        <v/>
      </c>
      <c r="F54" s="47">
        <f>AVERAGE(RAW_PERFORMANCE!H146,RAW_PERFORMANCE!H147,RAW_PERFORMANCE!H148)</f>
        <v/>
      </c>
      <c r="G54" s="47">
        <f>AVERAGE(RAW_PERFORMANCE!I146,RAW_PERFORMANCE!I147,RAW_PERFORMANCE!I148)</f>
        <v/>
      </c>
      <c r="H54" s="48" t="n">
        <v>1</v>
      </c>
      <c r="I54" s="49">
        <f>COUNT(RAW_PERFORMANCE!F146,RAW_PERFORMANCE!F147,RAW_PERFORMANCE!F148)</f>
        <v/>
      </c>
      <c r="J54" s="35">
        <f>AVERAGE(RAW_PERFORMANCE!K146,RAW_PERFORMANCE!K147,RAW_PERFORMANCE!K148)</f>
        <v/>
      </c>
      <c r="K54" s="35">
        <f>AVERAGE(RAW_PERFORMANCE!L146,RAW_PERFORMANCE!L147,RAW_PERFORMANCE!L148)</f>
        <v/>
      </c>
      <c r="L54" s="35">
        <f>AVERAGE(RAW_PERFORMANCE!M146,RAW_PERFORMANCE!M147,RAW_PERFORMANCE!M148)</f>
        <v/>
      </c>
      <c r="M54" s="35">
        <f>AVERAGE(RAW_PERFORMANCE!J146,RAW_PERFORMANCE!J147,RAW_PERFORMANCE!J148)</f>
        <v/>
      </c>
      <c r="N54" s="35">
        <f>AVERAGE(RAW_PERFORMANCE!P146,RAW_PERFORMANCE!P147,RAW_PERFORMANCE!P148)</f>
        <v/>
      </c>
      <c r="O54" s="31" t="inlineStr">
        <is>
          <t>COMPLETED DEVELOPMENT</t>
        </is>
      </c>
      <c r="P54" s="31" t="n"/>
    </row>
    <row r="55" ht="24" customHeight="1">
      <c r="A55" s="31" t="inlineStr">
        <is>
          <t>D008__TECO15</t>
        </is>
      </c>
      <c r="B55" s="31" t="inlineStr">
        <is>
          <t>D008</t>
        </is>
      </c>
      <c r="C55" s="31" t="inlineStr">
        <is>
          <t>TECO15</t>
        </is>
      </c>
      <c r="D55" s="47">
        <f>AVERAGE(RAW_PERFORMANCE!F149,RAW_PERFORMANCE!F150,RAW_PERFORMANCE!F151)</f>
        <v/>
      </c>
      <c r="E55" s="47">
        <f>AVERAGE(RAW_PERFORMANCE!G149,RAW_PERFORMANCE!G150,RAW_PERFORMANCE!G151)</f>
        <v/>
      </c>
      <c r="F55" s="47">
        <f>AVERAGE(RAW_PERFORMANCE!H149,RAW_PERFORMANCE!H150,RAW_PERFORMANCE!H151)</f>
        <v/>
      </c>
      <c r="G55" s="47">
        <f>AVERAGE(RAW_PERFORMANCE!I149,RAW_PERFORMANCE!I150,RAW_PERFORMANCE!I151)</f>
        <v/>
      </c>
      <c r="H55" s="48" t="n">
        <v>0</v>
      </c>
      <c r="I55" s="49">
        <f>COUNT(RAW_PERFORMANCE!F149,RAW_PERFORMANCE!F150,RAW_PERFORMANCE!F151)</f>
        <v/>
      </c>
      <c r="J55" s="35">
        <f>AVERAGE(RAW_PERFORMANCE!K149,RAW_PERFORMANCE!K150,RAW_PERFORMANCE!K151)</f>
        <v/>
      </c>
      <c r="K55" s="35">
        <f>AVERAGE(RAW_PERFORMANCE!L149,RAW_PERFORMANCE!L150,RAW_PERFORMANCE!L151)</f>
        <v/>
      </c>
      <c r="L55" s="35">
        <f>AVERAGE(RAW_PERFORMANCE!M149,RAW_PERFORMANCE!M150,RAW_PERFORMANCE!M151)</f>
        <v/>
      </c>
      <c r="M55" s="35">
        <f>AVERAGE(RAW_PERFORMANCE!J149,RAW_PERFORMANCE!J150,RAW_PERFORMANCE!J151)</f>
        <v/>
      </c>
      <c r="N55" s="35">
        <f>AVERAGE(RAW_PERFORMANCE!P149,RAW_PERFORMANCE!P150,RAW_PERFORMANCE!P151)</f>
        <v/>
      </c>
      <c r="O55" s="31" t="inlineStr">
        <is>
          <t>COMPLETED DEVELOPMENT</t>
        </is>
      </c>
      <c r="P55" s="31" t="n"/>
    </row>
    <row r="56" ht="24" customHeight="1">
      <c r="A56" s="31" t="inlineStr">
        <is>
          <t>D009__SP</t>
        </is>
      </c>
      <c r="B56" s="31" t="inlineStr">
        <is>
          <t>D009</t>
        </is>
      </c>
      <c r="C56" s="31" t="inlineStr">
        <is>
          <t>SP</t>
        </is>
      </c>
      <c r="D56" s="47">
        <f>AVERAGE(RAW_PERFORMANCE!F152,RAW_PERFORMANCE!F153,RAW_PERFORMANCE!F154)</f>
        <v/>
      </c>
      <c r="E56" s="47">
        <f>AVERAGE(RAW_PERFORMANCE!G152,RAW_PERFORMANCE!G153,RAW_PERFORMANCE!G154)</f>
        <v/>
      </c>
      <c r="F56" s="47">
        <f>AVERAGE(RAW_PERFORMANCE!H152,RAW_PERFORMANCE!H153,RAW_PERFORMANCE!H154)</f>
        <v/>
      </c>
      <c r="G56" s="47">
        <f>AVERAGE(RAW_PERFORMANCE!I152,RAW_PERFORMANCE!I153,RAW_PERFORMANCE!I154)</f>
        <v/>
      </c>
      <c r="H56" s="48" t="n">
        <v>1</v>
      </c>
      <c r="I56" s="49">
        <f>COUNT(RAW_PERFORMANCE!F152,RAW_PERFORMANCE!F153,RAW_PERFORMANCE!F154)</f>
        <v/>
      </c>
      <c r="J56" s="35">
        <f>AVERAGE(RAW_PERFORMANCE!K152,RAW_PERFORMANCE!K153,RAW_PERFORMANCE!K154)</f>
        <v/>
      </c>
      <c r="K56" s="35">
        <f>AVERAGE(RAW_PERFORMANCE!L152,RAW_PERFORMANCE!L153,RAW_PERFORMANCE!L154)</f>
        <v/>
      </c>
      <c r="L56" s="35">
        <f>AVERAGE(RAW_PERFORMANCE!M152,RAW_PERFORMANCE!M153,RAW_PERFORMANCE!M154)</f>
        <v/>
      </c>
      <c r="M56" s="35">
        <f>AVERAGE(RAW_PERFORMANCE!J152,RAW_PERFORMANCE!J153,RAW_PERFORMANCE!J154)</f>
        <v/>
      </c>
      <c r="N56" s="35">
        <f>AVERAGE(RAW_PERFORMANCE!P152,RAW_PERFORMANCE!P153,RAW_PERFORMANCE!P154)</f>
        <v/>
      </c>
      <c r="O56" s="31" t="inlineStr">
        <is>
          <t>COMPLETED DEVELOPMENT</t>
        </is>
      </c>
      <c r="P56" s="31" t="n"/>
    </row>
    <row r="57" ht="24" customHeight="1">
      <c r="A57" s="31" t="inlineStr">
        <is>
          <t>D009__DTT</t>
        </is>
      </c>
      <c r="B57" s="31" t="inlineStr">
        <is>
          <t>D009</t>
        </is>
      </c>
      <c r="C57" s="31" t="inlineStr">
        <is>
          <t>DTT</t>
        </is>
      </c>
      <c r="D57" s="47">
        <f>AVERAGE(RAW_PERFORMANCE!F155,RAW_PERFORMANCE!F156,RAW_PERFORMANCE!F157)</f>
        <v/>
      </c>
      <c r="E57" s="47">
        <f>AVERAGE(RAW_PERFORMANCE!G155,RAW_PERFORMANCE!G156,RAW_PERFORMANCE!G157)</f>
        <v/>
      </c>
      <c r="F57" s="47">
        <f>AVERAGE(RAW_PERFORMANCE!H155,RAW_PERFORMANCE!H156,RAW_PERFORMANCE!H157)</f>
        <v/>
      </c>
      <c r="G57" s="47">
        <f>AVERAGE(RAW_PERFORMANCE!I155,RAW_PERFORMANCE!I156,RAW_PERFORMANCE!I157)</f>
        <v/>
      </c>
      <c r="H57" s="48" t="n">
        <v>1</v>
      </c>
      <c r="I57" s="49">
        <f>COUNT(RAW_PERFORMANCE!F155,RAW_PERFORMANCE!F156,RAW_PERFORMANCE!F157)</f>
        <v/>
      </c>
      <c r="J57" s="35">
        <f>AVERAGE(RAW_PERFORMANCE!K155,RAW_PERFORMANCE!K156,RAW_PERFORMANCE!K157)</f>
        <v/>
      </c>
      <c r="K57" s="35">
        <f>AVERAGE(RAW_PERFORMANCE!L155,RAW_PERFORMANCE!L156,RAW_PERFORMANCE!L157)</f>
        <v/>
      </c>
      <c r="L57" s="35">
        <f>AVERAGE(RAW_PERFORMANCE!M155,RAW_PERFORMANCE!M156,RAW_PERFORMANCE!M157)</f>
        <v/>
      </c>
      <c r="M57" s="35">
        <f>AVERAGE(RAW_PERFORMANCE!J155,RAW_PERFORMANCE!J156,RAW_PERFORMANCE!J157)</f>
        <v/>
      </c>
      <c r="N57" s="35">
        <f>AVERAGE(RAW_PERFORMANCE!P155,RAW_PERFORMANCE!P156,RAW_PERFORMANCE!P157)</f>
        <v/>
      </c>
      <c r="O57" s="31" t="inlineStr">
        <is>
          <t>COMPLETED DEVELOPMENT</t>
        </is>
      </c>
      <c r="P57" s="31" t="n"/>
    </row>
    <row r="58" ht="24" customHeight="1">
      <c r="A58" s="31" t="inlineStr">
        <is>
          <t>D009__ECO</t>
        </is>
      </c>
      <c r="B58" s="31" t="inlineStr">
        <is>
          <t>D009</t>
        </is>
      </c>
      <c r="C58" s="31" t="inlineStr">
        <is>
          <t>ECO</t>
        </is>
      </c>
      <c r="D58" s="47">
        <f>AVERAGE(RAW_PERFORMANCE!F158,RAW_PERFORMANCE!F159,RAW_PERFORMANCE!F160)</f>
        <v/>
      </c>
      <c r="E58" s="47">
        <f>AVERAGE(RAW_PERFORMANCE!G158,RAW_PERFORMANCE!G159,RAW_PERFORMANCE!G160)</f>
        <v/>
      </c>
      <c r="F58" s="47">
        <f>AVERAGE(RAW_PERFORMANCE!H158,RAW_PERFORMANCE!H159,RAW_PERFORMANCE!H160)</f>
        <v/>
      </c>
      <c r="G58" s="47">
        <f>AVERAGE(RAW_PERFORMANCE!I158,RAW_PERFORMANCE!I159,RAW_PERFORMANCE!I160)</f>
        <v/>
      </c>
      <c r="H58" s="48" t="n">
        <v>1</v>
      </c>
      <c r="I58" s="49">
        <f>COUNT(RAW_PERFORMANCE!F158,RAW_PERFORMANCE!F159,RAW_PERFORMANCE!F160)</f>
        <v/>
      </c>
      <c r="J58" s="35">
        <f>AVERAGE(RAW_PERFORMANCE!K158,RAW_PERFORMANCE!K159,RAW_PERFORMANCE!K160)</f>
        <v/>
      </c>
      <c r="K58" s="35">
        <f>AVERAGE(RAW_PERFORMANCE!L158,RAW_PERFORMANCE!L159,RAW_PERFORMANCE!L160)</f>
        <v/>
      </c>
      <c r="L58" s="35">
        <f>AVERAGE(RAW_PERFORMANCE!M158,RAW_PERFORMANCE!M159,RAW_PERFORMANCE!M160)</f>
        <v/>
      </c>
      <c r="M58" s="35">
        <f>AVERAGE(RAW_PERFORMANCE!J158,RAW_PERFORMANCE!J159,RAW_PERFORMANCE!J160)</f>
        <v/>
      </c>
      <c r="N58" s="35">
        <f>AVERAGE(RAW_PERFORMANCE!P158,RAW_PERFORMANCE!P159,RAW_PERFORMANCE!P160)</f>
        <v/>
      </c>
      <c r="O58" s="31" t="inlineStr">
        <is>
          <t>COMPLETED DEVELOPMENT</t>
        </is>
      </c>
      <c r="P58" s="31" t="n"/>
    </row>
    <row r="59" ht="24" customHeight="1">
      <c r="A59" s="31" t="inlineStr">
        <is>
          <t>D009__TECO05</t>
        </is>
      </c>
      <c r="B59" s="31" t="inlineStr">
        <is>
          <t>D009</t>
        </is>
      </c>
      <c r="C59" s="31" t="inlineStr">
        <is>
          <t>TECO05</t>
        </is>
      </c>
      <c r="D59" s="47">
        <f>AVERAGE(RAW_PERFORMANCE!F161,RAW_PERFORMANCE!F162,RAW_PERFORMANCE!F163)</f>
        <v/>
      </c>
      <c r="E59" s="47">
        <f>AVERAGE(RAW_PERFORMANCE!G161,RAW_PERFORMANCE!G162,RAW_PERFORMANCE!G163)</f>
        <v/>
      </c>
      <c r="F59" s="47">
        <f>AVERAGE(RAW_PERFORMANCE!H161,RAW_PERFORMANCE!H162,RAW_PERFORMANCE!H163)</f>
        <v/>
      </c>
      <c r="G59" s="47">
        <f>AVERAGE(RAW_PERFORMANCE!I161,RAW_PERFORMANCE!I162,RAW_PERFORMANCE!I163)</f>
        <v/>
      </c>
      <c r="H59" s="48" t="n">
        <v>0</v>
      </c>
      <c r="I59" s="49">
        <f>COUNT(RAW_PERFORMANCE!F161,RAW_PERFORMANCE!F162,RAW_PERFORMANCE!F163)</f>
        <v/>
      </c>
      <c r="J59" s="35">
        <f>AVERAGE(RAW_PERFORMANCE!K161,RAW_PERFORMANCE!K162,RAW_PERFORMANCE!K163)</f>
        <v/>
      </c>
      <c r="K59" s="35">
        <f>AVERAGE(RAW_PERFORMANCE!L161,RAW_PERFORMANCE!L162,RAW_PERFORMANCE!L163)</f>
        <v/>
      </c>
      <c r="L59" s="35">
        <f>AVERAGE(RAW_PERFORMANCE!M161,RAW_PERFORMANCE!M162,RAW_PERFORMANCE!M163)</f>
        <v/>
      </c>
      <c r="M59" s="35">
        <f>AVERAGE(RAW_PERFORMANCE!J161,RAW_PERFORMANCE!J162,RAW_PERFORMANCE!J163)</f>
        <v/>
      </c>
      <c r="N59" s="35">
        <f>AVERAGE(RAW_PERFORMANCE!P161,RAW_PERFORMANCE!P162,RAW_PERFORMANCE!P163)</f>
        <v/>
      </c>
      <c r="O59" s="31" t="inlineStr">
        <is>
          <t>COMPLETED DEVELOPMENT</t>
        </is>
      </c>
      <c r="P59" s="31" t="n"/>
    </row>
    <row r="60" ht="24" customHeight="1">
      <c r="A60" s="31" t="inlineStr">
        <is>
          <t>D009__TECO10</t>
        </is>
      </c>
      <c r="B60" s="31" t="inlineStr">
        <is>
          <t>D009</t>
        </is>
      </c>
      <c r="C60" s="31" t="inlineStr">
        <is>
          <t>TECO10</t>
        </is>
      </c>
      <c r="D60" s="47">
        <f>AVERAGE(RAW_PERFORMANCE!F164,RAW_PERFORMANCE!F165,RAW_PERFORMANCE!F166)</f>
        <v/>
      </c>
      <c r="E60" s="47">
        <f>AVERAGE(RAW_PERFORMANCE!G164,RAW_PERFORMANCE!G165,RAW_PERFORMANCE!G166)</f>
        <v/>
      </c>
      <c r="F60" s="47">
        <f>AVERAGE(RAW_PERFORMANCE!H164,RAW_PERFORMANCE!H165,RAW_PERFORMANCE!H166)</f>
        <v/>
      </c>
      <c r="G60" s="47">
        <f>AVERAGE(RAW_PERFORMANCE!I164,RAW_PERFORMANCE!I165,RAW_PERFORMANCE!I166)</f>
        <v/>
      </c>
      <c r="H60" s="48" t="n">
        <v>1</v>
      </c>
      <c r="I60" s="49">
        <f>COUNT(RAW_PERFORMANCE!F164,RAW_PERFORMANCE!F165,RAW_PERFORMANCE!F166)</f>
        <v/>
      </c>
      <c r="J60" s="35">
        <f>AVERAGE(RAW_PERFORMANCE!K164,RAW_PERFORMANCE!K165,RAW_PERFORMANCE!K166)</f>
        <v/>
      </c>
      <c r="K60" s="35">
        <f>AVERAGE(RAW_PERFORMANCE!L164,RAW_PERFORMANCE!L165,RAW_PERFORMANCE!L166)</f>
        <v/>
      </c>
      <c r="L60" s="35">
        <f>AVERAGE(RAW_PERFORMANCE!M164,RAW_PERFORMANCE!M165,RAW_PERFORMANCE!M166)</f>
        <v/>
      </c>
      <c r="M60" s="35">
        <f>AVERAGE(RAW_PERFORMANCE!J164,RAW_PERFORMANCE!J165,RAW_PERFORMANCE!J166)</f>
        <v/>
      </c>
      <c r="N60" s="35">
        <f>AVERAGE(RAW_PERFORMANCE!P164,RAW_PERFORMANCE!P165,RAW_PERFORMANCE!P166)</f>
        <v/>
      </c>
      <c r="O60" s="31" t="inlineStr">
        <is>
          <t>COMPLETED DEVELOPMENT</t>
        </is>
      </c>
      <c r="P60" s="31" t="n"/>
    </row>
    <row r="61" ht="24" customHeight="1">
      <c r="A61" s="31" t="inlineStr">
        <is>
          <t>D009__TECO15</t>
        </is>
      </c>
      <c r="B61" s="31" t="inlineStr">
        <is>
          <t>D009</t>
        </is>
      </c>
      <c r="C61" s="31" t="inlineStr">
        <is>
          <t>TECO15</t>
        </is>
      </c>
      <c r="D61" s="47">
        <f>AVERAGE(RAW_PERFORMANCE!F167,RAW_PERFORMANCE!F168,RAW_PERFORMANCE!F169)</f>
        <v/>
      </c>
      <c r="E61" s="47">
        <f>AVERAGE(RAW_PERFORMANCE!G167,RAW_PERFORMANCE!G168,RAW_PERFORMANCE!G169)</f>
        <v/>
      </c>
      <c r="F61" s="47">
        <f>AVERAGE(RAW_PERFORMANCE!H167,RAW_PERFORMANCE!H168,RAW_PERFORMANCE!H169)</f>
        <v/>
      </c>
      <c r="G61" s="47">
        <f>AVERAGE(RAW_PERFORMANCE!I167,RAW_PERFORMANCE!I168,RAW_PERFORMANCE!I169)</f>
        <v/>
      </c>
      <c r="H61" s="48" t="n">
        <v>0</v>
      </c>
      <c r="I61" s="49">
        <f>COUNT(RAW_PERFORMANCE!F167,RAW_PERFORMANCE!F168,RAW_PERFORMANCE!F169)</f>
        <v/>
      </c>
      <c r="J61" s="35">
        <f>AVERAGE(RAW_PERFORMANCE!K167,RAW_PERFORMANCE!K168,RAW_PERFORMANCE!K169)</f>
        <v/>
      </c>
      <c r="K61" s="35">
        <f>AVERAGE(RAW_PERFORMANCE!L167,RAW_PERFORMANCE!L168,RAW_PERFORMANCE!L169)</f>
        <v/>
      </c>
      <c r="L61" s="35">
        <f>AVERAGE(RAW_PERFORMANCE!M167,RAW_PERFORMANCE!M168,RAW_PERFORMANCE!M169)</f>
        <v/>
      </c>
      <c r="M61" s="35">
        <f>AVERAGE(RAW_PERFORMANCE!J167,RAW_PERFORMANCE!J168,RAW_PERFORMANCE!J169)</f>
        <v/>
      </c>
      <c r="N61" s="35">
        <f>AVERAGE(RAW_PERFORMANCE!P167,RAW_PERFORMANCE!P168,RAW_PERFORMANCE!P169)</f>
        <v/>
      </c>
      <c r="O61" s="31" t="inlineStr">
        <is>
          <t>COMPLETED DEVELOPMENT</t>
        </is>
      </c>
      <c r="P61" s="31" t="n"/>
    </row>
    <row r="62" ht="24" customHeight="1">
      <c r="A62" s="31" t="inlineStr">
        <is>
          <t>D010__SP</t>
        </is>
      </c>
      <c r="B62" s="31" t="inlineStr">
        <is>
          <t>D010</t>
        </is>
      </c>
      <c r="C62" s="31" t="inlineStr">
        <is>
          <t>SP</t>
        </is>
      </c>
      <c r="D62" s="47">
        <f>AVERAGE(RAW_PERFORMANCE!F170,RAW_PERFORMANCE!F171,RAW_PERFORMANCE!F172)</f>
        <v/>
      </c>
      <c r="E62" s="47">
        <f>AVERAGE(RAW_PERFORMANCE!G170,RAW_PERFORMANCE!G171,RAW_PERFORMANCE!G172)</f>
        <v/>
      </c>
      <c r="F62" s="47">
        <f>AVERAGE(RAW_PERFORMANCE!H170,RAW_PERFORMANCE!H171,RAW_PERFORMANCE!H172)</f>
        <v/>
      </c>
      <c r="G62" s="47">
        <f>AVERAGE(RAW_PERFORMANCE!I170,RAW_PERFORMANCE!I171,RAW_PERFORMANCE!I172)</f>
        <v/>
      </c>
      <c r="H62" s="48" t="n">
        <v>1</v>
      </c>
      <c r="I62" s="49">
        <f>COUNT(RAW_PERFORMANCE!F170,RAW_PERFORMANCE!F171,RAW_PERFORMANCE!F172)</f>
        <v/>
      </c>
      <c r="J62" s="35">
        <f>AVERAGE(RAW_PERFORMANCE!K170,RAW_PERFORMANCE!K171,RAW_PERFORMANCE!K172)</f>
        <v/>
      </c>
      <c r="K62" s="35">
        <f>AVERAGE(RAW_PERFORMANCE!L170,RAW_PERFORMANCE!L171,RAW_PERFORMANCE!L172)</f>
        <v/>
      </c>
      <c r="L62" s="35">
        <f>AVERAGE(RAW_PERFORMANCE!M170,RAW_PERFORMANCE!M171,RAW_PERFORMANCE!M172)</f>
        <v/>
      </c>
      <c r="M62" s="35">
        <f>AVERAGE(RAW_PERFORMANCE!J170,RAW_PERFORMANCE!J171,RAW_PERFORMANCE!J172)</f>
        <v/>
      </c>
      <c r="N62" s="35">
        <f>AVERAGE(RAW_PERFORMANCE!P170,RAW_PERFORMANCE!P171,RAW_PERFORMANCE!P172)</f>
        <v/>
      </c>
      <c r="O62" s="31" t="inlineStr">
        <is>
          <t>COMPLETED DEVELOPMENT</t>
        </is>
      </c>
      <c r="P62" s="31" t="n"/>
    </row>
    <row r="63" ht="24" customHeight="1">
      <c r="A63" s="31" t="inlineStr">
        <is>
          <t>D010__DTT</t>
        </is>
      </c>
      <c r="B63" s="31" t="inlineStr">
        <is>
          <t>D010</t>
        </is>
      </c>
      <c r="C63" s="31" t="inlineStr">
        <is>
          <t>DTT</t>
        </is>
      </c>
      <c r="D63" s="47">
        <f>AVERAGE(RAW_PERFORMANCE!F173,RAW_PERFORMANCE!F174,RAW_PERFORMANCE!F175)</f>
        <v/>
      </c>
      <c r="E63" s="47">
        <f>AVERAGE(RAW_PERFORMANCE!G173,RAW_PERFORMANCE!G174,RAW_PERFORMANCE!G175)</f>
        <v/>
      </c>
      <c r="F63" s="47">
        <f>AVERAGE(RAW_PERFORMANCE!H173,RAW_PERFORMANCE!H174,RAW_PERFORMANCE!H175)</f>
        <v/>
      </c>
      <c r="G63" s="47">
        <f>AVERAGE(RAW_PERFORMANCE!I173,RAW_PERFORMANCE!I174,RAW_PERFORMANCE!I175)</f>
        <v/>
      </c>
      <c r="H63" s="48" t="n">
        <v>1</v>
      </c>
      <c r="I63" s="49">
        <f>COUNT(RAW_PERFORMANCE!F173,RAW_PERFORMANCE!F174,RAW_PERFORMANCE!F175)</f>
        <v/>
      </c>
      <c r="J63" s="35">
        <f>AVERAGE(RAW_PERFORMANCE!K173,RAW_PERFORMANCE!K174,RAW_PERFORMANCE!K175)</f>
        <v/>
      </c>
      <c r="K63" s="35">
        <f>AVERAGE(RAW_PERFORMANCE!L173,RAW_PERFORMANCE!L174,RAW_PERFORMANCE!L175)</f>
        <v/>
      </c>
      <c r="L63" s="35">
        <f>AVERAGE(RAW_PERFORMANCE!M173,RAW_PERFORMANCE!M174,RAW_PERFORMANCE!M175)</f>
        <v/>
      </c>
      <c r="M63" s="35">
        <f>AVERAGE(RAW_PERFORMANCE!J173,RAW_PERFORMANCE!J174,RAW_PERFORMANCE!J175)</f>
        <v/>
      </c>
      <c r="N63" s="35">
        <f>AVERAGE(RAW_PERFORMANCE!P173,RAW_PERFORMANCE!P174,RAW_PERFORMANCE!P175)</f>
        <v/>
      </c>
      <c r="O63" s="31" t="inlineStr">
        <is>
          <t>COMPLETED DEVELOPMENT</t>
        </is>
      </c>
      <c r="P63" s="31" t="n"/>
    </row>
    <row r="64" ht="24" customHeight="1">
      <c r="A64" s="31" t="inlineStr">
        <is>
          <t>D010__ECO</t>
        </is>
      </c>
      <c r="B64" s="31" t="inlineStr">
        <is>
          <t>D010</t>
        </is>
      </c>
      <c r="C64" s="31" t="inlineStr">
        <is>
          <t>ECO</t>
        </is>
      </c>
      <c r="D64" s="47">
        <f>AVERAGE(RAW_PERFORMANCE!F176,RAW_PERFORMANCE!F177,RAW_PERFORMANCE!F178)</f>
        <v/>
      </c>
      <c r="E64" s="47">
        <f>AVERAGE(RAW_PERFORMANCE!G176,RAW_PERFORMANCE!G177,RAW_PERFORMANCE!G178)</f>
        <v/>
      </c>
      <c r="F64" s="47">
        <f>AVERAGE(RAW_PERFORMANCE!H176,RAW_PERFORMANCE!H177,RAW_PERFORMANCE!H178)</f>
        <v/>
      </c>
      <c r="G64" s="47">
        <f>AVERAGE(RAW_PERFORMANCE!I176,RAW_PERFORMANCE!I177,RAW_PERFORMANCE!I178)</f>
        <v/>
      </c>
      <c r="H64" s="48" t="n">
        <v>1</v>
      </c>
      <c r="I64" s="49">
        <f>COUNT(RAW_PERFORMANCE!F176,RAW_PERFORMANCE!F177,RAW_PERFORMANCE!F178)</f>
        <v/>
      </c>
      <c r="J64" s="35">
        <f>AVERAGE(RAW_PERFORMANCE!K176,RAW_PERFORMANCE!K177,RAW_PERFORMANCE!K178)</f>
        <v/>
      </c>
      <c r="K64" s="35">
        <f>AVERAGE(RAW_PERFORMANCE!L176,RAW_PERFORMANCE!L177,RAW_PERFORMANCE!L178)</f>
        <v/>
      </c>
      <c r="L64" s="35">
        <f>AVERAGE(RAW_PERFORMANCE!M176,RAW_PERFORMANCE!M177,RAW_PERFORMANCE!M178)</f>
        <v/>
      </c>
      <c r="M64" s="35">
        <f>AVERAGE(RAW_PERFORMANCE!J176,RAW_PERFORMANCE!J177,RAW_PERFORMANCE!J178)</f>
        <v/>
      </c>
      <c r="N64" s="35">
        <f>AVERAGE(RAW_PERFORMANCE!P176,RAW_PERFORMANCE!P177,RAW_PERFORMANCE!P178)</f>
        <v/>
      </c>
      <c r="O64" s="31" t="inlineStr">
        <is>
          <t>COMPLETED DEVELOPMENT</t>
        </is>
      </c>
      <c r="P64" s="31" t="n"/>
    </row>
    <row r="65" ht="24" customHeight="1">
      <c r="A65" s="31" t="inlineStr">
        <is>
          <t>D010__TECO05</t>
        </is>
      </c>
      <c r="B65" s="31" t="inlineStr">
        <is>
          <t>D010</t>
        </is>
      </c>
      <c r="C65" s="31" t="inlineStr">
        <is>
          <t>TECO05</t>
        </is>
      </c>
      <c r="D65" s="47">
        <f>AVERAGE(RAW_PERFORMANCE!F179,RAW_PERFORMANCE!F180,RAW_PERFORMANCE!F181)</f>
        <v/>
      </c>
      <c r="E65" s="47">
        <f>AVERAGE(RAW_PERFORMANCE!G179,RAW_PERFORMANCE!G180,RAW_PERFORMANCE!G181)</f>
        <v/>
      </c>
      <c r="F65" s="47">
        <f>AVERAGE(RAW_PERFORMANCE!H179,RAW_PERFORMANCE!H180,RAW_PERFORMANCE!H181)</f>
        <v/>
      </c>
      <c r="G65" s="47">
        <f>AVERAGE(RAW_PERFORMANCE!I179,RAW_PERFORMANCE!I180,RAW_PERFORMANCE!I181)</f>
        <v/>
      </c>
      <c r="H65" s="48" t="n">
        <v>0</v>
      </c>
      <c r="I65" s="49">
        <f>COUNT(RAW_PERFORMANCE!F179,RAW_PERFORMANCE!F180,RAW_PERFORMANCE!F181)</f>
        <v/>
      </c>
      <c r="J65" s="35">
        <f>AVERAGE(RAW_PERFORMANCE!K179,RAW_PERFORMANCE!K180,RAW_PERFORMANCE!K181)</f>
        <v/>
      </c>
      <c r="K65" s="35">
        <f>AVERAGE(RAW_PERFORMANCE!L179,RAW_PERFORMANCE!L180,RAW_PERFORMANCE!L181)</f>
        <v/>
      </c>
      <c r="L65" s="35">
        <f>AVERAGE(RAW_PERFORMANCE!M179,RAW_PERFORMANCE!M180,RAW_PERFORMANCE!M181)</f>
        <v/>
      </c>
      <c r="M65" s="35">
        <f>AVERAGE(RAW_PERFORMANCE!J179,RAW_PERFORMANCE!J180,RAW_PERFORMANCE!J181)</f>
        <v/>
      </c>
      <c r="N65" s="35">
        <f>AVERAGE(RAW_PERFORMANCE!P179,RAW_PERFORMANCE!P180,RAW_PERFORMANCE!P181)</f>
        <v/>
      </c>
      <c r="O65" s="31" t="inlineStr">
        <is>
          <t>COMPLETED DEVELOPMENT</t>
        </is>
      </c>
      <c r="P65" s="31" t="n"/>
    </row>
    <row r="66" ht="24" customHeight="1">
      <c r="A66" s="31" t="inlineStr">
        <is>
          <t>D010__TECO10</t>
        </is>
      </c>
      <c r="B66" s="31" t="inlineStr">
        <is>
          <t>D010</t>
        </is>
      </c>
      <c r="C66" s="31" t="inlineStr">
        <is>
          <t>TECO10</t>
        </is>
      </c>
      <c r="D66" s="47">
        <f>AVERAGE(RAW_PERFORMANCE!F182,RAW_PERFORMANCE!F183,RAW_PERFORMANCE!F184)</f>
        <v/>
      </c>
      <c r="E66" s="47">
        <f>AVERAGE(RAW_PERFORMANCE!G182,RAW_PERFORMANCE!G183,RAW_PERFORMANCE!G184)</f>
        <v/>
      </c>
      <c r="F66" s="47">
        <f>AVERAGE(RAW_PERFORMANCE!H182,RAW_PERFORMANCE!H183,RAW_PERFORMANCE!H184)</f>
        <v/>
      </c>
      <c r="G66" s="47">
        <f>AVERAGE(RAW_PERFORMANCE!I182,RAW_PERFORMANCE!I183,RAW_PERFORMANCE!I184)</f>
        <v/>
      </c>
      <c r="H66" s="48" t="n">
        <v>1</v>
      </c>
      <c r="I66" s="49">
        <f>COUNT(RAW_PERFORMANCE!F182,RAW_PERFORMANCE!F183,RAW_PERFORMANCE!F184)</f>
        <v/>
      </c>
      <c r="J66" s="35">
        <f>AVERAGE(RAW_PERFORMANCE!K182,RAW_PERFORMANCE!K183,RAW_PERFORMANCE!K184)</f>
        <v/>
      </c>
      <c r="K66" s="35">
        <f>AVERAGE(RAW_PERFORMANCE!L182,RAW_PERFORMANCE!L183,RAW_PERFORMANCE!L184)</f>
        <v/>
      </c>
      <c r="L66" s="35">
        <f>AVERAGE(RAW_PERFORMANCE!M182,RAW_PERFORMANCE!M183,RAW_PERFORMANCE!M184)</f>
        <v/>
      </c>
      <c r="M66" s="35">
        <f>AVERAGE(RAW_PERFORMANCE!J182,RAW_PERFORMANCE!J183,RAW_PERFORMANCE!J184)</f>
        <v/>
      </c>
      <c r="N66" s="35">
        <f>AVERAGE(RAW_PERFORMANCE!P182,RAW_PERFORMANCE!P183,RAW_PERFORMANCE!P184)</f>
        <v/>
      </c>
      <c r="O66" s="31" t="inlineStr">
        <is>
          <t>COMPLETED DEVELOPMENT</t>
        </is>
      </c>
      <c r="P66" s="31" t="n"/>
    </row>
    <row r="67" ht="24" customHeight="1">
      <c r="A67" s="31" t="inlineStr">
        <is>
          <t>D010__TECO15</t>
        </is>
      </c>
      <c r="B67" s="31" t="inlineStr">
        <is>
          <t>D010</t>
        </is>
      </c>
      <c r="C67" s="31" t="inlineStr">
        <is>
          <t>TECO15</t>
        </is>
      </c>
      <c r="D67" s="47">
        <f>AVERAGE(RAW_PERFORMANCE!F185,RAW_PERFORMANCE!F186,RAW_PERFORMANCE!F187)</f>
        <v/>
      </c>
      <c r="E67" s="47">
        <f>AVERAGE(RAW_PERFORMANCE!G185,RAW_PERFORMANCE!G186,RAW_PERFORMANCE!G187)</f>
        <v/>
      </c>
      <c r="F67" s="47">
        <f>AVERAGE(RAW_PERFORMANCE!H185,RAW_PERFORMANCE!H186,RAW_PERFORMANCE!H187)</f>
        <v/>
      </c>
      <c r="G67" s="47">
        <f>AVERAGE(RAW_PERFORMANCE!I185,RAW_PERFORMANCE!I186,RAW_PERFORMANCE!I187)</f>
        <v/>
      </c>
      <c r="H67" s="48" t="n">
        <v>0</v>
      </c>
      <c r="I67" s="49">
        <f>COUNT(RAW_PERFORMANCE!F185,RAW_PERFORMANCE!F186,RAW_PERFORMANCE!F187)</f>
        <v/>
      </c>
      <c r="J67" s="35">
        <f>AVERAGE(RAW_PERFORMANCE!K185,RAW_PERFORMANCE!K186,RAW_PERFORMANCE!K187)</f>
        <v/>
      </c>
      <c r="K67" s="35">
        <f>AVERAGE(RAW_PERFORMANCE!L185,RAW_PERFORMANCE!L186,RAW_PERFORMANCE!L187)</f>
        <v/>
      </c>
      <c r="L67" s="35">
        <f>AVERAGE(RAW_PERFORMANCE!M185,RAW_PERFORMANCE!M186,RAW_PERFORMANCE!M187)</f>
        <v/>
      </c>
      <c r="M67" s="35">
        <f>AVERAGE(RAW_PERFORMANCE!J185,RAW_PERFORMANCE!J186,RAW_PERFORMANCE!J187)</f>
        <v/>
      </c>
      <c r="N67" s="35">
        <f>AVERAGE(RAW_PERFORMANCE!P185,RAW_PERFORMANCE!P186,RAW_PERFORMANCE!P187)</f>
        <v/>
      </c>
      <c r="O67" s="31" t="inlineStr">
        <is>
          <t>COMPLETED DEVELOPMENT</t>
        </is>
      </c>
      <c r="P67" s="31" t="n"/>
    </row>
    <row r="68" ht="24" customHeight="1">
      <c r="A68" s="31" t="inlineStr">
        <is>
          <t>D011__SP</t>
        </is>
      </c>
      <c r="B68" s="31" t="inlineStr">
        <is>
          <t>D011</t>
        </is>
      </c>
      <c r="C68" s="31" t="inlineStr">
        <is>
          <t>SP</t>
        </is>
      </c>
      <c r="D68" s="47">
        <f>AVERAGE(RAW_PERFORMANCE!F188,RAW_PERFORMANCE!F189,RAW_PERFORMANCE!F190)</f>
        <v/>
      </c>
      <c r="E68" s="47">
        <f>AVERAGE(RAW_PERFORMANCE!G188,RAW_PERFORMANCE!G189,RAW_PERFORMANCE!G190)</f>
        <v/>
      </c>
      <c r="F68" s="47">
        <f>AVERAGE(RAW_PERFORMANCE!H188,RAW_PERFORMANCE!H189,RAW_PERFORMANCE!H190)</f>
        <v/>
      </c>
      <c r="G68" s="47">
        <f>AVERAGE(RAW_PERFORMANCE!I188,RAW_PERFORMANCE!I189,RAW_PERFORMANCE!I190)</f>
        <v/>
      </c>
      <c r="H68" s="48" t="n">
        <v>1</v>
      </c>
      <c r="I68" s="49">
        <f>COUNT(RAW_PERFORMANCE!F188,RAW_PERFORMANCE!F189,RAW_PERFORMANCE!F190)</f>
        <v/>
      </c>
      <c r="J68" s="35">
        <f>AVERAGE(RAW_PERFORMANCE!K188,RAW_PERFORMANCE!K189,RAW_PERFORMANCE!K190)</f>
        <v/>
      </c>
      <c r="K68" s="35">
        <f>AVERAGE(RAW_PERFORMANCE!L188,RAW_PERFORMANCE!L189,RAW_PERFORMANCE!L190)</f>
        <v/>
      </c>
      <c r="L68" s="35">
        <f>AVERAGE(RAW_PERFORMANCE!M188,RAW_PERFORMANCE!M189,RAW_PERFORMANCE!M190)</f>
        <v/>
      </c>
      <c r="M68" s="35">
        <f>AVERAGE(RAW_PERFORMANCE!J188,RAW_PERFORMANCE!J189,RAW_PERFORMANCE!J190)</f>
        <v/>
      </c>
      <c r="N68" s="35">
        <f>AVERAGE(RAW_PERFORMANCE!P188,RAW_PERFORMANCE!P189,RAW_PERFORMANCE!P190)</f>
        <v/>
      </c>
      <c r="O68" s="31" t="inlineStr">
        <is>
          <t>COMPLETED DEVELOPMENT</t>
        </is>
      </c>
      <c r="P68" s="31" t="n"/>
    </row>
    <row r="69" ht="24" customHeight="1">
      <c r="A69" s="31" t="inlineStr">
        <is>
          <t>D011__DTT</t>
        </is>
      </c>
      <c r="B69" s="31" t="inlineStr">
        <is>
          <t>D011</t>
        </is>
      </c>
      <c r="C69" s="31" t="inlineStr">
        <is>
          <t>DTT</t>
        </is>
      </c>
      <c r="D69" s="47">
        <f>AVERAGE(RAW_PERFORMANCE!F191,RAW_PERFORMANCE!F192,RAW_PERFORMANCE!F193)</f>
        <v/>
      </c>
      <c r="E69" s="47">
        <f>AVERAGE(RAW_PERFORMANCE!G191,RAW_PERFORMANCE!G192,RAW_PERFORMANCE!G193)</f>
        <v/>
      </c>
      <c r="F69" s="47">
        <f>AVERAGE(RAW_PERFORMANCE!H191,RAW_PERFORMANCE!H192,RAW_PERFORMANCE!H193)</f>
        <v/>
      </c>
      <c r="G69" s="47">
        <f>AVERAGE(RAW_PERFORMANCE!I191,RAW_PERFORMANCE!I192,RAW_PERFORMANCE!I193)</f>
        <v/>
      </c>
      <c r="H69" s="48" t="n">
        <v>1</v>
      </c>
      <c r="I69" s="49">
        <f>COUNT(RAW_PERFORMANCE!F191,RAW_PERFORMANCE!F192,RAW_PERFORMANCE!F193)</f>
        <v/>
      </c>
      <c r="J69" s="35">
        <f>AVERAGE(RAW_PERFORMANCE!K191,RAW_PERFORMANCE!K192,RAW_PERFORMANCE!K193)</f>
        <v/>
      </c>
      <c r="K69" s="35">
        <f>AVERAGE(RAW_PERFORMANCE!L191,RAW_PERFORMANCE!L192,RAW_PERFORMANCE!L193)</f>
        <v/>
      </c>
      <c r="L69" s="35">
        <f>AVERAGE(RAW_PERFORMANCE!M191,RAW_PERFORMANCE!M192,RAW_PERFORMANCE!M193)</f>
        <v/>
      </c>
      <c r="M69" s="35">
        <f>AVERAGE(RAW_PERFORMANCE!J191,RAW_PERFORMANCE!J192,RAW_PERFORMANCE!J193)</f>
        <v/>
      </c>
      <c r="N69" s="35">
        <f>AVERAGE(RAW_PERFORMANCE!P191,RAW_PERFORMANCE!P192,RAW_PERFORMANCE!P193)</f>
        <v/>
      </c>
      <c r="O69" s="31" t="inlineStr">
        <is>
          <t>COMPLETED DEVELOPMENT</t>
        </is>
      </c>
      <c r="P69" s="31" t="n"/>
    </row>
    <row r="70" ht="24" customHeight="1">
      <c r="A70" s="31" t="inlineStr">
        <is>
          <t>D011__ECO</t>
        </is>
      </c>
      <c r="B70" s="31" t="inlineStr">
        <is>
          <t>D011</t>
        </is>
      </c>
      <c r="C70" s="31" t="inlineStr">
        <is>
          <t>ECO</t>
        </is>
      </c>
      <c r="D70" s="47">
        <f>AVERAGE(RAW_PERFORMANCE!F194,RAW_PERFORMANCE!F195,RAW_PERFORMANCE!F196)</f>
        <v/>
      </c>
      <c r="E70" s="47">
        <f>AVERAGE(RAW_PERFORMANCE!G194,RAW_PERFORMANCE!G195,RAW_PERFORMANCE!G196)</f>
        <v/>
      </c>
      <c r="F70" s="47">
        <f>AVERAGE(RAW_PERFORMANCE!H194,RAW_PERFORMANCE!H195,RAW_PERFORMANCE!H196)</f>
        <v/>
      </c>
      <c r="G70" s="47">
        <f>AVERAGE(RAW_PERFORMANCE!I194,RAW_PERFORMANCE!I195,RAW_PERFORMANCE!I196)</f>
        <v/>
      </c>
      <c r="H70" s="48" t="n">
        <v>1</v>
      </c>
      <c r="I70" s="49">
        <f>COUNT(RAW_PERFORMANCE!F194,RAW_PERFORMANCE!F195,RAW_PERFORMANCE!F196)</f>
        <v/>
      </c>
      <c r="J70" s="35">
        <f>AVERAGE(RAW_PERFORMANCE!K194,RAW_PERFORMANCE!K195,RAW_PERFORMANCE!K196)</f>
        <v/>
      </c>
      <c r="K70" s="35">
        <f>AVERAGE(RAW_PERFORMANCE!L194,RAW_PERFORMANCE!L195,RAW_PERFORMANCE!L196)</f>
        <v/>
      </c>
      <c r="L70" s="35">
        <f>AVERAGE(RAW_PERFORMANCE!M194,RAW_PERFORMANCE!M195,RAW_PERFORMANCE!M196)</f>
        <v/>
      </c>
      <c r="M70" s="35">
        <f>AVERAGE(RAW_PERFORMANCE!J194,RAW_PERFORMANCE!J195,RAW_PERFORMANCE!J196)</f>
        <v/>
      </c>
      <c r="N70" s="35">
        <f>AVERAGE(RAW_PERFORMANCE!P194,RAW_PERFORMANCE!P195,RAW_PERFORMANCE!P196)</f>
        <v/>
      </c>
      <c r="O70" s="31" t="inlineStr">
        <is>
          <t>COMPLETED DEVELOPMENT</t>
        </is>
      </c>
      <c r="P70" s="31" t="n"/>
    </row>
    <row r="71" ht="24" customHeight="1">
      <c r="A71" s="31" t="inlineStr">
        <is>
          <t>D011__TECO05</t>
        </is>
      </c>
      <c r="B71" s="31" t="inlineStr">
        <is>
          <t>D011</t>
        </is>
      </c>
      <c r="C71" s="31" t="inlineStr">
        <is>
          <t>TECO05</t>
        </is>
      </c>
      <c r="D71" s="47">
        <f>AVERAGE(RAW_PERFORMANCE!F197,RAW_PERFORMANCE!F198,RAW_PERFORMANCE!F199)</f>
        <v/>
      </c>
      <c r="E71" s="47">
        <f>AVERAGE(RAW_PERFORMANCE!G197,RAW_PERFORMANCE!G198,RAW_PERFORMANCE!G199)</f>
        <v/>
      </c>
      <c r="F71" s="47">
        <f>AVERAGE(RAW_PERFORMANCE!H197,RAW_PERFORMANCE!H198,RAW_PERFORMANCE!H199)</f>
        <v/>
      </c>
      <c r="G71" s="47">
        <f>AVERAGE(RAW_PERFORMANCE!I197,RAW_PERFORMANCE!I198,RAW_PERFORMANCE!I199)</f>
        <v/>
      </c>
      <c r="H71" s="48" t="n">
        <v>0</v>
      </c>
      <c r="I71" s="49">
        <f>COUNT(RAW_PERFORMANCE!F197,RAW_PERFORMANCE!F198,RAW_PERFORMANCE!F199)</f>
        <v/>
      </c>
      <c r="J71" s="35">
        <f>AVERAGE(RAW_PERFORMANCE!K197,RAW_PERFORMANCE!K198,RAW_PERFORMANCE!K199)</f>
        <v/>
      </c>
      <c r="K71" s="35">
        <f>AVERAGE(RAW_PERFORMANCE!L197,RAW_PERFORMANCE!L198,RAW_PERFORMANCE!L199)</f>
        <v/>
      </c>
      <c r="L71" s="35">
        <f>AVERAGE(RAW_PERFORMANCE!M197,RAW_PERFORMANCE!M198,RAW_PERFORMANCE!M199)</f>
        <v/>
      </c>
      <c r="M71" s="35">
        <f>AVERAGE(RAW_PERFORMANCE!J197,RAW_PERFORMANCE!J198,RAW_PERFORMANCE!J199)</f>
        <v/>
      </c>
      <c r="N71" s="35">
        <f>AVERAGE(RAW_PERFORMANCE!P197,RAW_PERFORMANCE!P198,RAW_PERFORMANCE!P199)</f>
        <v/>
      </c>
      <c r="O71" s="31" t="inlineStr">
        <is>
          <t>COMPLETED DEVELOPMENT</t>
        </is>
      </c>
      <c r="P71" s="31" t="n"/>
    </row>
    <row r="72" ht="24" customHeight="1">
      <c r="A72" s="31" t="inlineStr">
        <is>
          <t>D011__TECO10</t>
        </is>
      </c>
      <c r="B72" s="31" t="inlineStr">
        <is>
          <t>D011</t>
        </is>
      </c>
      <c r="C72" s="31" t="inlineStr">
        <is>
          <t>TECO10</t>
        </is>
      </c>
      <c r="D72" s="47">
        <f>AVERAGE(RAW_PERFORMANCE!F200,RAW_PERFORMANCE!F201,RAW_PERFORMANCE!F202)</f>
        <v/>
      </c>
      <c r="E72" s="47">
        <f>AVERAGE(RAW_PERFORMANCE!G200,RAW_PERFORMANCE!G201,RAW_PERFORMANCE!G202)</f>
        <v/>
      </c>
      <c r="F72" s="47">
        <f>AVERAGE(RAW_PERFORMANCE!H200,RAW_PERFORMANCE!H201,RAW_PERFORMANCE!H202)</f>
        <v/>
      </c>
      <c r="G72" s="47">
        <f>AVERAGE(RAW_PERFORMANCE!I200,RAW_PERFORMANCE!I201,RAW_PERFORMANCE!I202)</f>
        <v/>
      </c>
      <c r="H72" s="48" t="n">
        <v>1</v>
      </c>
      <c r="I72" s="49">
        <f>COUNT(RAW_PERFORMANCE!F200,RAW_PERFORMANCE!F201,RAW_PERFORMANCE!F202)</f>
        <v/>
      </c>
      <c r="J72" s="35">
        <f>AVERAGE(RAW_PERFORMANCE!K200,RAW_PERFORMANCE!K201,RAW_PERFORMANCE!K202)</f>
        <v/>
      </c>
      <c r="K72" s="35">
        <f>AVERAGE(RAW_PERFORMANCE!L200,RAW_PERFORMANCE!L201,RAW_PERFORMANCE!L202)</f>
        <v/>
      </c>
      <c r="L72" s="35">
        <f>AVERAGE(RAW_PERFORMANCE!M200,RAW_PERFORMANCE!M201,RAW_PERFORMANCE!M202)</f>
        <v/>
      </c>
      <c r="M72" s="35">
        <f>AVERAGE(RAW_PERFORMANCE!J200,RAW_PERFORMANCE!J201,RAW_PERFORMANCE!J202)</f>
        <v/>
      </c>
      <c r="N72" s="35">
        <f>AVERAGE(RAW_PERFORMANCE!P200,RAW_PERFORMANCE!P201,RAW_PERFORMANCE!P202)</f>
        <v/>
      </c>
      <c r="O72" s="31" t="inlineStr">
        <is>
          <t>COMPLETED DEVELOPMENT</t>
        </is>
      </c>
      <c r="P72" s="31" t="n"/>
    </row>
    <row r="73" ht="24" customHeight="1">
      <c r="A73" s="31" t="inlineStr">
        <is>
          <t>D011__TECO15</t>
        </is>
      </c>
      <c r="B73" s="31" t="inlineStr">
        <is>
          <t>D011</t>
        </is>
      </c>
      <c r="C73" s="31" t="inlineStr">
        <is>
          <t>TECO15</t>
        </is>
      </c>
      <c r="D73" s="47">
        <f>AVERAGE(RAW_PERFORMANCE!F203,RAW_PERFORMANCE!F204,RAW_PERFORMANCE!F205)</f>
        <v/>
      </c>
      <c r="E73" s="47">
        <f>AVERAGE(RAW_PERFORMANCE!G203,RAW_PERFORMANCE!G204,RAW_PERFORMANCE!G205)</f>
        <v/>
      </c>
      <c r="F73" s="47">
        <f>AVERAGE(RAW_PERFORMANCE!H203,RAW_PERFORMANCE!H204,RAW_PERFORMANCE!H205)</f>
        <v/>
      </c>
      <c r="G73" s="47">
        <f>AVERAGE(RAW_PERFORMANCE!I203,RAW_PERFORMANCE!I204,RAW_PERFORMANCE!I205)</f>
        <v/>
      </c>
      <c r="H73" s="48" t="n">
        <v>0</v>
      </c>
      <c r="I73" s="49">
        <f>COUNT(RAW_PERFORMANCE!F203,RAW_PERFORMANCE!F204,RAW_PERFORMANCE!F205)</f>
        <v/>
      </c>
      <c r="J73" s="35">
        <f>AVERAGE(RAW_PERFORMANCE!K203,RAW_PERFORMANCE!K204,RAW_PERFORMANCE!K205)</f>
        <v/>
      </c>
      <c r="K73" s="35">
        <f>AVERAGE(RAW_PERFORMANCE!L203,RAW_PERFORMANCE!L204,RAW_PERFORMANCE!L205)</f>
        <v/>
      </c>
      <c r="L73" s="35">
        <f>AVERAGE(RAW_PERFORMANCE!M203,RAW_PERFORMANCE!M204,RAW_PERFORMANCE!M205)</f>
        <v/>
      </c>
      <c r="M73" s="35">
        <f>AVERAGE(RAW_PERFORMANCE!J203,RAW_PERFORMANCE!J204,RAW_PERFORMANCE!J205)</f>
        <v/>
      </c>
      <c r="N73" s="35">
        <f>AVERAGE(RAW_PERFORMANCE!P203,RAW_PERFORMANCE!P204,RAW_PERFORMANCE!P205)</f>
        <v/>
      </c>
      <c r="O73" s="31" t="inlineStr">
        <is>
          <t>COMPLETED DEVELOPMENT</t>
        </is>
      </c>
      <c r="P73" s="31" t="n"/>
    </row>
    <row r="74" ht="24" customHeight="1">
      <c r="A74" s="31" t="inlineStr">
        <is>
          <t>D012__SP</t>
        </is>
      </c>
      <c r="B74" s="31" t="inlineStr">
        <is>
          <t>D012</t>
        </is>
      </c>
      <c r="C74" s="31" t="inlineStr">
        <is>
          <t>SP</t>
        </is>
      </c>
      <c r="D74" s="47">
        <f>AVERAGE(RAW_PERFORMANCE!F206,RAW_PERFORMANCE!F207,RAW_PERFORMANCE!F208)</f>
        <v/>
      </c>
      <c r="E74" s="47">
        <f>AVERAGE(RAW_PERFORMANCE!G206,RAW_PERFORMANCE!G207,RAW_PERFORMANCE!G208)</f>
        <v/>
      </c>
      <c r="F74" s="47">
        <f>AVERAGE(RAW_PERFORMANCE!H206,RAW_PERFORMANCE!H207,RAW_PERFORMANCE!H208)</f>
        <v/>
      </c>
      <c r="G74" s="47">
        <f>AVERAGE(RAW_PERFORMANCE!I206,RAW_PERFORMANCE!I207,RAW_PERFORMANCE!I208)</f>
        <v/>
      </c>
      <c r="H74" s="48" t="n">
        <v>1</v>
      </c>
      <c r="I74" s="49">
        <f>COUNT(RAW_PERFORMANCE!F206,RAW_PERFORMANCE!F207,RAW_PERFORMANCE!F208)</f>
        <v/>
      </c>
      <c r="J74" s="35">
        <f>AVERAGE(RAW_PERFORMANCE!K206,RAW_PERFORMANCE!K207,RAW_PERFORMANCE!K208)</f>
        <v/>
      </c>
      <c r="K74" s="35">
        <f>AVERAGE(RAW_PERFORMANCE!L206,RAW_PERFORMANCE!L207,RAW_PERFORMANCE!L208)</f>
        <v/>
      </c>
      <c r="L74" s="35">
        <f>AVERAGE(RAW_PERFORMANCE!M206,RAW_PERFORMANCE!M207,RAW_PERFORMANCE!M208)</f>
        <v/>
      </c>
      <c r="M74" s="35">
        <f>AVERAGE(RAW_PERFORMANCE!J206,RAW_PERFORMANCE!J207,RAW_PERFORMANCE!J208)</f>
        <v/>
      </c>
      <c r="N74" s="35">
        <f>AVERAGE(RAW_PERFORMANCE!P206,RAW_PERFORMANCE!P207,RAW_PERFORMANCE!P208)</f>
        <v/>
      </c>
      <c r="O74" s="31" t="inlineStr">
        <is>
          <t>COMPLETED DEVELOPMENT</t>
        </is>
      </c>
      <c r="P74" s="31" t="n"/>
    </row>
    <row r="75" ht="24" customHeight="1">
      <c r="A75" s="31" t="inlineStr">
        <is>
          <t>D012__DTT</t>
        </is>
      </c>
      <c r="B75" s="31" t="inlineStr">
        <is>
          <t>D012</t>
        </is>
      </c>
      <c r="C75" s="31" t="inlineStr">
        <is>
          <t>DTT</t>
        </is>
      </c>
      <c r="D75" s="47">
        <f>AVERAGE(RAW_PERFORMANCE!F209,RAW_PERFORMANCE!F210,RAW_PERFORMANCE!F211)</f>
        <v/>
      </c>
      <c r="E75" s="47">
        <f>AVERAGE(RAW_PERFORMANCE!G209,RAW_PERFORMANCE!G210,RAW_PERFORMANCE!G211)</f>
        <v/>
      </c>
      <c r="F75" s="47">
        <f>AVERAGE(RAW_PERFORMANCE!H209,RAW_PERFORMANCE!H210,RAW_PERFORMANCE!H211)</f>
        <v/>
      </c>
      <c r="G75" s="47">
        <f>AVERAGE(RAW_PERFORMANCE!I209,RAW_PERFORMANCE!I210,RAW_PERFORMANCE!I211)</f>
        <v/>
      </c>
      <c r="H75" s="48" t="n">
        <v>1</v>
      </c>
      <c r="I75" s="49">
        <f>COUNT(RAW_PERFORMANCE!F209,RAW_PERFORMANCE!F210,RAW_PERFORMANCE!F211)</f>
        <v/>
      </c>
      <c r="J75" s="35">
        <f>AVERAGE(RAW_PERFORMANCE!K209,RAW_PERFORMANCE!K210,RAW_PERFORMANCE!K211)</f>
        <v/>
      </c>
      <c r="K75" s="35">
        <f>AVERAGE(RAW_PERFORMANCE!L209,RAW_PERFORMANCE!L210,RAW_PERFORMANCE!L211)</f>
        <v/>
      </c>
      <c r="L75" s="35">
        <f>AVERAGE(RAW_PERFORMANCE!M209,RAW_PERFORMANCE!M210,RAW_PERFORMANCE!M211)</f>
        <v/>
      </c>
      <c r="M75" s="35">
        <f>AVERAGE(RAW_PERFORMANCE!J209,RAW_PERFORMANCE!J210,RAW_PERFORMANCE!J211)</f>
        <v/>
      </c>
      <c r="N75" s="35">
        <f>AVERAGE(RAW_PERFORMANCE!P209,RAW_PERFORMANCE!P210,RAW_PERFORMANCE!P211)</f>
        <v/>
      </c>
      <c r="O75" s="31" t="inlineStr">
        <is>
          <t>COMPLETED DEVELOPMENT</t>
        </is>
      </c>
      <c r="P75" s="31" t="n"/>
    </row>
    <row r="76" ht="24" customHeight="1">
      <c r="A76" s="31" t="inlineStr">
        <is>
          <t>D012__ECO</t>
        </is>
      </c>
      <c r="B76" s="31" t="inlineStr">
        <is>
          <t>D012</t>
        </is>
      </c>
      <c r="C76" s="31" t="inlineStr">
        <is>
          <t>ECO</t>
        </is>
      </c>
      <c r="D76" s="47">
        <f>AVERAGE(RAW_PERFORMANCE!F212,RAW_PERFORMANCE!F213,RAW_PERFORMANCE!F214)</f>
        <v/>
      </c>
      <c r="E76" s="47">
        <f>AVERAGE(RAW_PERFORMANCE!G212,RAW_PERFORMANCE!G213,RAW_PERFORMANCE!G214)</f>
        <v/>
      </c>
      <c r="F76" s="47">
        <f>AVERAGE(RAW_PERFORMANCE!H212,RAW_PERFORMANCE!H213,RAW_PERFORMANCE!H214)</f>
        <v/>
      </c>
      <c r="G76" s="47">
        <f>AVERAGE(RAW_PERFORMANCE!I212,RAW_PERFORMANCE!I213,RAW_PERFORMANCE!I214)</f>
        <v/>
      </c>
      <c r="H76" s="48" t="n">
        <v>1</v>
      </c>
      <c r="I76" s="49">
        <f>COUNT(RAW_PERFORMANCE!F212,RAW_PERFORMANCE!F213,RAW_PERFORMANCE!F214)</f>
        <v/>
      </c>
      <c r="J76" s="35">
        <f>AVERAGE(RAW_PERFORMANCE!K212,RAW_PERFORMANCE!K213,RAW_PERFORMANCE!K214)</f>
        <v/>
      </c>
      <c r="K76" s="35">
        <f>AVERAGE(RAW_PERFORMANCE!L212,RAW_PERFORMANCE!L213,RAW_PERFORMANCE!L214)</f>
        <v/>
      </c>
      <c r="L76" s="35">
        <f>AVERAGE(RAW_PERFORMANCE!M212,RAW_PERFORMANCE!M213,RAW_PERFORMANCE!M214)</f>
        <v/>
      </c>
      <c r="M76" s="35">
        <f>AVERAGE(RAW_PERFORMANCE!J212,RAW_PERFORMANCE!J213,RAW_PERFORMANCE!J214)</f>
        <v/>
      </c>
      <c r="N76" s="35">
        <f>AVERAGE(RAW_PERFORMANCE!P212,RAW_PERFORMANCE!P213,RAW_PERFORMANCE!P214)</f>
        <v/>
      </c>
      <c r="O76" s="31" t="inlineStr">
        <is>
          <t>COMPLETED DEVELOPMENT</t>
        </is>
      </c>
      <c r="P76" s="31" t="n"/>
    </row>
    <row r="77" ht="24" customHeight="1">
      <c r="A77" s="31" t="inlineStr">
        <is>
          <t>D012__TECO05</t>
        </is>
      </c>
      <c r="B77" s="31" t="inlineStr">
        <is>
          <t>D012</t>
        </is>
      </c>
      <c r="C77" s="31" t="inlineStr">
        <is>
          <t>TECO05</t>
        </is>
      </c>
      <c r="D77" s="47">
        <f>AVERAGE(RAW_PERFORMANCE!F215,RAW_PERFORMANCE!F216,RAW_PERFORMANCE!F217)</f>
        <v/>
      </c>
      <c r="E77" s="47">
        <f>AVERAGE(RAW_PERFORMANCE!G215,RAW_PERFORMANCE!G216,RAW_PERFORMANCE!G217)</f>
        <v/>
      </c>
      <c r="F77" s="47">
        <f>AVERAGE(RAW_PERFORMANCE!H215,RAW_PERFORMANCE!H216,RAW_PERFORMANCE!H217)</f>
        <v/>
      </c>
      <c r="G77" s="47">
        <f>AVERAGE(RAW_PERFORMANCE!I215,RAW_PERFORMANCE!I216,RAW_PERFORMANCE!I217)</f>
        <v/>
      </c>
      <c r="H77" s="48" t="n">
        <v>0</v>
      </c>
      <c r="I77" s="49">
        <f>COUNT(RAW_PERFORMANCE!F215,RAW_PERFORMANCE!F216,RAW_PERFORMANCE!F217)</f>
        <v/>
      </c>
      <c r="J77" s="35">
        <f>AVERAGE(RAW_PERFORMANCE!K215,RAW_PERFORMANCE!K216,RAW_PERFORMANCE!K217)</f>
        <v/>
      </c>
      <c r="K77" s="35">
        <f>AVERAGE(RAW_PERFORMANCE!L215,RAW_PERFORMANCE!L216,RAW_PERFORMANCE!L217)</f>
        <v/>
      </c>
      <c r="L77" s="35">
        <f>AVERAGE(RAW_PERFORMANCE!M215,RAW_PERFORMANCE!M216,RAW_PERFORMANCE!M217)</f>
        <v/>
      </c>
      <c r="M77" s="35">
        <f>AVERAGE(RAW_PERFORMANCE!J215,RAW_PERFORMANCE!J216,RAW_PERFORMANCE!J217)</f>
        <v/>
      </c>
      <c r="N77" s="35">
        <f>AVERAGE(RAW_PERFORMANCE!P215,RAW_PERFORMANCE!P216,RAW_PERFORMANCE!P217)</f>
        <v/>
      </c>
      <c r="O77" s="31" t="inlineStr">
        <is>
          <t>COMPLETED DEVELOPMENT</t>
        </is>
      </c>
      <c r="P77" s="31" t="n"/>
    </row>
    <row r="78" ht="24" customHeight="1">
      <c r="A78" s="31" t="inlineStr">
        <is>
          <t>D012__TECO10</t>
        </is>
      </c>
      <c r="B78" s="31" t="inlineStr">
        <is>
          <t>D012</t>
        </is>
      </c>
      <c r="C78" s="31" t="inlineStr">
        <is>
          <t>TECO10</t>
        </is>
      </c>
      <c r="D78" s="47">
        <f>AVERAGE(RAW_PERFORMANCE!F218,RAW_PERFORMANCE!F219,RAW_PERFORMANCE!F220)</f>
        <v/>
      </c>
      <c r="E78" s="47">
        <f>AVERAGE(RAW_PERFORMANCE!G218,RAW_PERFORMANCE!G219,RAW_PERFORMANCE!G220)</f>
        <v/>
      </c>
      <c r="F78" s="47">
        <f>AVERAGE(RAW_PERFORMANCE!H218,RAW_PERFORMANCE!H219,RAW_PERFORMANCE!H220)</f>
        <v/>
      </c>
      <c r="G78" s="47">
        <f>AVERAGE(RAW_PERFORMANCE!I218,RAW_PERFORMANCE!I219,RAW_PERFORMANCE!I220)</f>
        <v/>
      </c>
      <c r="H78" s="48" t="n">
        <v>1</v>
      </c>
      <c r="I78" s="49">
        <f>COUNT(RAW_PERFORMANCE!F218,RAW_PERFORMANCE!F219,RAW_PERFORMANCE!F220)</f>
        <v/>
      </c>
      <c r="J78" s="35">
        <f>AVERAGE(RAW_PERFORMANCE!K218,RAW_PERFORMANCE!K219,RAW_PERFORMANCE!K220)</f>
        <v/>
      </c>
      <c r="K78" s="35">
        <f>AVERAGE(RAW_PERFORMANCE!L218,RAW_PERFORMANCE!L219,RAW_PERFORMANCE!L220)</f>
        <v/>
      </c>
      <c r="L78" s="35">
        <f>AVERAGE(RAW_PERFORMANCE!M218,RAW_PERFORMANCE!M219,RAW_PERFORMANCE!M220)</f>
        <v/>
      </c>
      <c r="M78" s="35">
        <f>AVERAGE(RAW_PERFORMANCE!J218,RAW_PERFORMANCE!J219,RAW_PERFORMANCE!J220)</f>
        <v/>
      </c>
      <c r="N78" s="35">
        <f>AVERAGE(RAW_PERFORMANCE!P218,RAW_PERFORMANCE!P219,RAW_PERFORMANCE!P220)</f>
        <v/>
      </c>
      <c r="O78" s="31" t="inlineStr">
        <is>
          <t>COMPLETED DEVELOPMENT</t>
        </is>
      </c>
      <c r="P78" s="31" t="n"/>
    </row>
    <row r="79" ht="24" customHeight="1">
      <c r="A79" s="31" t="inlineStr">
        <is>
          <t>D012__TECO15</t>
        </is>
      </c>
      <c r="B79" s="31" t="inlineStr">
        <is>
          <t>D012</t>
        </is>
      </c>
      <c r="C79" s="31" t="inlineStr">
        <is>
          <t>TECO15</t>
        </is>
      </c>
      <c r="D79" s="47">
        <f>AVERAGE(RAW_PERFORMANCE!F221,RAW_PERFORMANCE!F222,RAW_PERFORMANCE!F223)</f>
        <v/>
      </c>
      <c r="E79" s="47">
        <f>AVERAGE(RAW_PERFORMANCE!G221,RAW_PERFORMANCE!G222,RAW_PERFORMANCE!G223)</f>
        <v/>
      </c>
      <c r="F79" s="47">
        <f>AVERAGE(RAW_PERFORMANCE!H221,RAW_PERFORMANCE!H222,RAW_PERFORMANCE!H223)</f>
        <v/>
      </c>
      <c r="G79" s="47">
        <f>AVERAGE(RAW_PERFORMANCE!I221,RAW_PERFORMANCE!I222,RAW_PERFORMANCE!I223)</f>
        <v/>
      </c>
      <c r="H79" s="48" t="n">
        <v>0</v>
      </c>
      <c r="I79" s="49">
        <f>COUNT(RAW_PERFORMANCE!F221,RAW_PERFORMANCE!F222,RAW_PERFORMANCE!F223)</f>
        <v/>
      </c>
      <c r="J79" s="35">
        <f>AVERAGE(RAW_PERFORMANCE!K221,RAW_PERFORMANCE!K222,RAW_PERFORMANCE!K223)</f>
        <v/>
      </c>
      <c r="K79" s="35">
        <f>AVERAGE(RAW_PERFORMANCE!L221,RAW_PERFORMANCE!L222,RAW_PERFORMANCE!L223)</f>
        <v/>
      </c>
      <c r="L79" s="35">
        <f>AVERAGE(RAW_PERFORMANCE!M221,RAW_PERFORMANCE!M222,RAW_PERFORMANCE!M223)</f>
        <v/>
      </c>
      <c r="M79" s="35">
        <f>AVERAGE(RAW_PERFORMANCE!J221,RAW_PERFORMANCE!J222,RAW_PERFORMANCE!J223)</f>
        <v/>
      </c>
      <c r="N79" s="35">
        <f>AVERAGE(RAW_PERFORMANCE!P221,RAW_PERFORMANCE!P222,RAW_PERFORMANCE!P223)</f>
        <v/>
      </c>
      <c r="O79" s="31" t="inlineStr">
        <is>
          <t>COMPLETED DEVELOPMENT</t>
        </is>
      </c>
      <c r="P79" s="31" t="n"/>
    </row>
    <row r="80" ht="24" customHeight="1">
      <c r="A80" s="31" t="inlineStr">
        <is>
          <t>D013__SP</t>
        </is>
      </c>
      <c r="B80" s="31" t="inlineStr">
        <is>
          <t>D013</t>
        </is>
      </c>
      <c r="C80" s="31" t="inlineStr">
        <is>
          <t>SP</t>
        </is>
      </c>
      <c r="D80" s="47">
        <f>AVERAGE(RAW_PERFORMANCE!F224,RAW_PERFORMANCE!F225,RAW_PERFORMANCE!F226)</f>
        <v/>
      </c>
      <c r="E80" s="47">
        <f>AVERAGE(RAW_PERFORMANCE!G224,RAW_PERFORMANCE!G225,RAW_PERFORMANCE!G226)</f>
        <v/>
      </c>
      <c r="F80" s="47">
        <f>AVERAGE(RAW_PERFORMANCE!H224,RAW_PERFORMANCE!H225,RAW_PERFORMANCE!H226)</f>
        <v/>
      </c>
      <c r="G80" s="47">
        <f>AVERAGE(RAW_PERFORMANCE!I224,RAW_PERFORMANCE!I225,RAW_PERFORMANCE!I226)</f>
        <v/>
      </c>
      <c r="H80" s="48" t="n">
        <v>1</v>
      </c>
      <c r="I80" s="49">
        <f>COUNT(RAW_PERFORMANCE!F224,RAW_PERFORMANCE!F225,RAW_PERFORMANCE!F226)</f>
        <v/>
      </c>
      <c r="J80" s="35">
        <f>AVERAGE(RAW_PERFORMANCE!K224,RAW_PERFORMANCE!K225,RAW_PERFORMANCE!K226)</f>
        <v/>
      </c>
      <c r="K80" s="35">
        <f>AVERAGE(RAW_PERFORMANCE!L224,RAW_PERFORMANCE!L225,RAW_PERFORMANCE!L226)</f>
        <v/>
      </c>
      <c r="L80" s="35">
        <f>AVERAGE(RAW_PERFORMANCE!M224,RAW_PERFORMANCE!M225,RAW_PERFORMANCE!M226)</f>
        <v/>
      </c>
      <c r="M80" s="35">
        <f>AVERAGE(RAW_PERFORMANCE!J224,RAW_PERFORMANCE!J225,RAW_PERFORMANCE!J226)</f>
        <v/>
      </c>
      <c r="N80" s="35">
        <f>AVERAGE(RAW_PERFORMANCE!P224,RAW_PERFORMANCE!P225,RAW_PERFORMANCE!P226)</f>
        <v/>
      </c>
      <c r="O80" s="31" t="inlineStr">
        <is>
          <t>COMPLETED DEVELOPMENT</t>
        </is>
      </c>
      <c r="P80" s="31" t="n"/>
    </row>
    <row r="81" ht="24" customHeight="1">
      <c r="A81" s="31" t="inlineStr">
        <is>
          <t>D013__DTT</t>
        </is>
      </c>
      <c r="B81" s="31" t="inlineStr">
        <is>
          <t>D013</t>
        </is>
      </c>
      <c r="C81" s="31" t="inlineStr">
        <is>
          <t>DTT</t>
        </is>
      </c>
      <c r="D81" s="47">
        <f>AVERAGE(RAW_PERFORMANCE!F227,RAW_PERFORMANCE!F228,RAW_PERFORMANCE!F229)</f>
        <v/>
      </c>
      <c r="E81" s="47">
        <f>AVERAGE(RAW_PERFORMANCE!G227,RAW_PERFORMANCE!G228,RAW_PERFORMANCE!G229)</f>
        <v/>
      </c>
      <c r="F81" s="47">
        <f>AVERAGE(RAW_PERFORMANCE!H227,RAW_PERFORMANCE!H228,RAW_PERFORMANCE!H229)</f>
        <v/>
      </c>
      <c r="G81" s="47">
        <f>AVERAGE(RAW_PERFORMANCE!I227,RAW_PERFORMANCE!I228,RAW_PERFORMANCE!I229)</f>
        <v/>
      </c>
      <c r="H81" s="48" t="n">
        <v>1</v>
      </c>
      <c r="I81" s="49">
        <f>COUNT(RAW_PERFORMANCE!F227,RAW_PERFORMANCE!F228,RAW_PERFORMANCE!F229)</f>
        <v/>
      </c>
      <c r="J81" s="35">
        <f>AVERAGE(RAW_PERFORMANCE!K227,RAW_PERFORMANCE!K228,RAW_PERFORMANCE!K229)</f>
        <v/>
      </c>
      <c r="K81" s="35">
        <f>AVERAGE(RAW_PERFORMANCE!L227,RAW_PERFORMANCE!L228,RAW_PERFORMANCE!L229)</f>
        <v/>
      </c>
      <c r="L81" s="35">
        <f>AVERAGE(RAW_PERFORMANCE!M227,RAW_PERFORMANCE!M228,RAW_PERFORMANCE!M229)</f>
        <v/>
      </c>
      <c r="M81" s="35">
        <f>AVERAGE(RAW_PERFORMANCE!J227,RAW_PERFORMANCE!J228,RAW_PERFORMANCE!J229)</f>
        <v/>
      </c>
      <c r="N81" s="35">
        <f>AVERAGE(RAW_PERFORMANCE!P227,RAW_PERFORMANCE!P228,RAW_PERFORMANCE!P229)</f>
        <v/>
      </c>
      <c r="O81" s="31" t="inlineStr">
        <is>
          <t>COMPLETED DEVELOPMENT</t>
        </is>
      </c>
      <c r="P81" s="31" t="n"/>
    </row>
    <row r="82" ht="24" customHeight="1">
      <c r="A82" s="31" t="inlineStr">
        <is>
          <t>D013__ECO</t>
        </is>
      </c>
      <c r="B82" s="31" t="inlineStr">
        <is>
          <t>D013</t>
        </is>
      </c>
      <c r="C82" s="31" t="inlineStr">
        <is>
          <t>ECO</t>
        </is>
      </c>
      <c r="D82" s="47">
        <f>AVERAGE(RAW_PERFORMANCE!F230,RAW_PERFORMANCE!F231,RAW_PERFORMANCE!F232)</f>
        <v/>
      </c>
      <c r="E82" s="47">
        <f>AVERAGE(RAW_PERFORMANCE!G230,RAW_PERFORMANCE!G231,RAW_PERFORMANCE!G232)</f>
        <v/>
      </c>
      <c r="F82" s="47">
        <f>AVERAGE(RAW_PERFORMANCE!H230,RAW_PERFORMANCE!H231,RAW_PERFORMANCE!H232)</f>
        <v/>
      </c>
      <c r="G82" s="47">
        <f>AVERAGE(RAW_PERFORMANCE!I230,RAW_PERFORMANCE!I231,RAW_PERFORMANCE!I232)</f>
        <v/>
      </c>
      <c r="H82" s="48" t="n">
        <v>1</v>
      </c>
      <c r="I82" s="49">
        <f>COUNT(RAW_PERFORMANCE!F230,RAW_PERFORMANCE!F231,RAW_PERFORMANCE!F232)</f>
        <v/>
      </c>
      <c r="J82" s="35">
        <f>AVERAGE(RAW_PERFORMANCE!K230,RAW_PERFORMANCE!K231,RAW_PERFORMANCE!K232)</f>
        <v/>
      </c>
      <c r="K82" s="35">
        <f>AVERAGE(RAW_PERFORMANCE!L230,RAW_PERFORMANCE!L231,RAW_PERFORMANCE!L232)</f>
        <v/>
      </c>
      <c r="L82" s="35">
        <f>AVERAGE(RAW_PERFORMANCE!M230,RAW_PERFORMANCE!M231,RAW_PERFORMANCE!M232)</f>
        <v/>
      </c>
      <c r="M82" s="35">
        <f>AVERAGE(RAW_PERFORMANCE!J230,RAW_PERFORMANCE!J231,RAW_PERFORMANCE!J232)</f>
        <v/>
      </c>
      <c r="N82" s="35">
        <f>AVERAGE(RAW_PERFORMANCE!P230,RAW_PERFORMANCE!P231,RAW_PERFORMANCE!P232)</f>
        <v/>
      </c>
      <c r="O82" s="31" t="inlineStr">
        <is>
          <t>COMPLETED DEVELOPMENT</t>
        </is>
      </c>
      <c r="P82" s="31" t="n"/>
    </row>
    <row r="83" ht="24" customHeight="1">
      <c r="A83" s="31" t="inlineStr">
        <is>
          <t>D013__TECO05</t>
        </is>
      </c>
      <c r="B83" s="31" t="inlineStr">
        <is>
          <t>D013</t>
        </is>
      </c>
      <c r="C83" s="31" t="inlineStr">
        <is>
          <t>TECO05</t>
        </is>
      </c>
      <c r="D83" s="47">
        <f>AVERAGE(RAW_PERFORMANCE!F233,RAW_PERFORMANCE!F234,RAW_PERFORMANCE!F235)</f>
        <v/>
      </c>
      <c r="E83" s="47">
        <f>AVERAGE(RAW_PERFORMANCE!G233,RAW_PERFORMANCE!G234,RAW_PERFORMANCE!G235)</f>
        <v/>
      </c>
      <c r="F83" s="47">
        <f>AVERAGE(RAW_PERFORMANCE!H233,RAW_PERFORMANCE!H234,RAW_PERFORMANCE!H235)</f>
        <v/>
      </c>
      <c r="G83" s="47">
        <f>AVERAGE(RAW_PERFORMANCE!I233,RAW_PERFORMANCE!I234,RAW_PERFORMANCE!I235)</f>
        <v/>
      </c>
      <c r="H83" s="48" t="n">
        <v>0</v>
      </c>
      <c r="I83" s="49">
        <f>COUNT(RAW_PERFORMANCE!F233,RAW_PERFORMANCE!F234,RAW_PERFORMANCE!F235)</f>
        <v/>
      </c>
      <c r="J83" s="35">
        <f>AVERAGE(RAW_PERFORMANCE!K233,RAW_PERFORMANCE!K234,RAW_PERFORMANCE!K235)</f>
        <v/>
      </c>
      <c r="K83" s="35">
        <f>AVERAGE(RAW_PERFORMANCE!L233,RAW_PERFORMANCE!L234,RAW_PERFORMANCE!L235)</f>
        <v/>
      </c>
      <c r="L83" s="35">
        <f>AVERAGE(RAW_PERFORMANCE!M233,RAW_PERFORMANCE!M234,RAW_PERFORMANCE!M235)</f>
        <v/>
      </c>
      <c r="M83" s="35">
        <f>AVERAGE(RAW_PERFORMANCE!J233,RAW_PERFORMANCE!J234,RAW_PERFORMANCE!J235)</f>
        <v/>
      </c>
      <c r="N83" s="35">
        <f>AVERAGE(RAW_PERFORMANCE!P233,RAW_PERFORMANCE!P234,RAW_PERFORMANCE!P235)</f>
        <v/>
      </c>
      <c r="O83" s="31" t="inlineStr">
        <is>
          <t>COMPLETED DEVELOPMENT</t>
        </is>
      </c>
      <c r="P83" s="31" t="n"/>
    </row>
    <row r="84" ht="24" customHeight="1">
      <c r="A84" s="31" t="inlineStr">
        <is>
          <t>D013__TECO10</t>
        </is>
      </c>
      <c r="B84" s="31" t="inlineStr">
        <is>
          <t>D013</t>
        </is>
      </c>
      <c r="C84" s="31" t="inlineStr">
        <is>
          <t>TECO10</t>
        </is>
      </c>
      <c r="D84" s="47">
        <f>AVERAGE(RAW_PERFORMANCE!F236,RAW_PERFORMANCE!F237,RAW_PERFORMANCE!F238)</f>
        <v/>
      </c>
      <c r="E84" s="47">
        <f>AVERAGE(RAW_PERFORMANCE!G236,RAW_PERFORMANCE!G237,RAW_PERFORMANCE!G238)</f>
        <v/>
      </c>
      <c r="F84" s="47">
        <f>AVERAGE(RAW_PERFORMANCE!H236,RAW_PERFORMANCE!H237,RAW_PERFORMANCE!H238)</f>
        <v/>
      </c>
      <c r="G84" s="47">
        <f>AVERAGE(RAW_PERFORMANCE!I236,RAW_PERFORMANCE!I237,RAW_PERFORMANCE!I238)</f>
        <v/>
      </c>
      <c r="H84" s="48" t="n">
        <v>1</v>
      </c>
      <c r="I84" s="49">
        <f>COUNT(RAW_PERFORMANCE!F236,RAW_PERFORMANCE!F237,RAW_PERFORMANCE!F238)</f>
        <v/>
      </c>
      <c r="J84" s="35">
        <f>AVERAGE(RAW_PERFORMANCE!K236,RAW_PERFORMANCE!K237,RAW_PERFORMANCE!K238)</f>
        <v/>
      </c>
      <c r="K84" s="35">
        <f>AVERAGE(RAW_PERFORMANCE!L236,RAW_PERFORMANCE!L237,RAW_PERFORMANCE!L238)</f>
        <v/>
      </c>
      <c r="L84" s="35">
        <f>AVERAGE(RAW_PERFORMANCE!M236,RAW_PERFORMANCE!M237,RAW_PERFORMANCE!M238)</f>
        <v/>
      </c>
      <c r="M84" s="35">
        <f>AVERAGE(RAW_PERFORMANCE!J236,RAW_PERFORMANCE!J237,RAW_PERFORMANCE!J238)</f>
        <v/>
      </c>
      <c r="N84" s="35">
        <f>AVERAGE(RAW_PERFORMANCE!P236,RAW_PERFORMANCE!P237,RAW_PERFORMANCE!P238)</f>
        <v/>
      </c>
      <c r="O84" s="31" t="inlineStr">
        <is>
          <t>COMPLETED DEVELOPMENT</t>
        </is>
      </c>
      <c r="P84" s="31" t="n"/>
    </row>
    <row r="85" ht="24" customHeight="1">
      <c r="A85" s="31" t="inlineStr">
        <is>
          <t>D013__TECO15</t>
        </is>
      </c>
      <c r="B85" s="31" t="inlineStr">
        <is>
          <t>D013</t>
        </is>
      </c>
      <c r="C85" s="31" t="inlineStr">
        <is>
          <t>TECO15</t>
        </is>
      </c>
      <c r="D85" s="47">
        <f>AVERAGE(RAW_PERFORMANCE!F239,RAW_PERFORMANCE!F240,RAW_PERFORMANCE!F241)</f>
        <v/>
      </c>
      <c r="E85" s="47">
        <f>AVERAGE(RAW_PERFORMANCE!G239,RAW_PERFORMANCE!G240,RAW_PERFORMANCE!G241)</f>
        <v/>
      </c>
      <c r="F85" s="47">
        <f>AVERAGE(RAW_PERFORMANCE!H239,RAW_PERFORMANCE!H240,RAW_PERFORMANCE!H241)</f>
        <v/>
      </c>
      <c r="G85" s="47">
        <f>AVERAGE(RAW_PERFORMANCE!I239,RAW_PERFORMANCE!I240,RAW_PERFORMANCE!I241)</f>
        <v/>
      </c>
      <c r="H85" s="48" t="n">
        <v>0</v>
      </c>
      <c r="I85" s="49">
        <f>COUNT(RAW_PERFORMANCE!F239,RAW_PERFORMANCE!F240,RAW_PERFORMANCE!F241)</f>
        <v/>
      </c>
      <c r="J85" s="35">
        <f>AVERAGE(RAW_PERFORMANCE!K239,RAW_PERFORMANCE!K240,RAW_PERFORMANCE!K241)</f>
        <v/>
      </c>
      <c r="K85" s="35">
        <f>AVERAGE(RAW_PERFORMANCE!L239,RAW_PERFORMANCE!L240,RAW_PERFORMANCE!L241)</f>
        <v/>
      </c>
      <c r="L85" s="35">
        <f>AVERAGE(RAW_PERFORMANCE!M239,RAW_PERFORMANCE!M240,RAW_PERFORMANCE!M241)</f>
        <v/>
      </c>
      <c r="M85" s="35">
        <f>AVERAGE(RAW_PERFORMANCE!J239,RAW_PERFORMANCE!J240,RAW_PERFORMANCE!J241)</f>
        <v/>
      </c>
      <c r="N85" s="35">
        <f>AVERAGE(RAW_PERFORMANCE!P239,RAW_PERFORMANCE!P240,RAW_PERFORMANCE!P241)</f>
        <v/>
      </c>
      <c r="O85" s="31" t="inlineStr">
        <is>
          <t>COMPLETED DEVELOPMENT</t>
        </is>
      </c>
      <c r="P85" s="31" t="n"/>
    </row>
    <row r="86" ht="24" customHeight="1">
      <c r="A86" s="31" t="inlineStr">
        <is>
          <t>D014__SP</t>
        </is>
      </c>
      <c r="B86" s="31" t="inlineStr">
        <is>
          <t>D014</t>
        </is>
      </c>
      <c r="C86" s="31" t="inlineStr">
        <is>
          <t>SP</t>
        </is>
      </c>
      <c r="D86" s="47">
        <f>AVERAGE(RAW_PERFORMANCE!F242,RAW_PERFORMANCE!F243,RAW_PERFORMANCE!F244)</f>
        <v/>
      </c>
      <c r="E86" s="47">
        <f>AVERAGE(RAW_PERFORMANCE!G242,RAW_PERFORMANCE!G243,RAW_PERFORMANCE!G244)</f>
        <v/>
      </c>
      <c r="F86" s="47">
        <f>AVERAGE(RAW_PERFORMANCE!H242,RAW_PERFORMANCE!H243,RAW_PERFORMANCE!H244)</f>
        <v/>
      </c>
      <c r="G86" s="47">
        <f>AVERAGE(RAW_PERFORMANCE!I242,RAW_PERFORMANCE!I243,RAW_PERFORMANCE!I244)</f>
        <v/>
      </c>
      <c r="H86" s="48" t="n">
        <v>1</v>
      </c>
      <c r="I86" s="49">
        <f>COUNT(RAW_PERFORMANCE!F242,RAW_PERFORMANCE!F243,RAW_PERFORMANCE!F244)</f>
        <v/>
      </c>
      <c r="J86" s="35">
        <f>AVERAGE(RAW_PERFORMANCE!K242,RAW_PERFORMANCE!K243,RAW_PERFORMANCE!K244)</f>
        <v/>
      </c>
      <c r="K86" s="35">
        <f>AVERAGE(RAW_PERFORMANCE!L242,RAW_PERFORMANCE!L243,RAW_PERFORMANCE!L244)</f>
        <v/>
      </c>
      <c r="L86" s="35">
        <f>AVERAGE(RAW_PERFORMANCE!M242,RAW_PERFORMANCE!M243,RAW_PERFORMANCE!M244)</f>
        <v/>
      </c>
      <c r="M86" s="35">
        <f>AVERAGE(RAW_PERFORMANCE!J242,RAW_PERFORMANCE!J243,RAW_PERFORMANCE!J244)</f>
        <v/>
      </c>
      <c r="N86" s="35">
        <f>AVERAGE(RAW_PERFORMANCE!P242,RAW_PERFORMANCE!P243,RAW_PERFORMANCE!P244)</f>
        <v/>
      </c>
      <c r="O86" s="31" t="inlineStr">
        <is>
          <t>COMPLETED DEVELOPMENT</t>
        </is>
      </c>
      <c r="P86" s="31" t="n"/>
    </row>
    <row r="87" ht="24" customHeight="1">
      <c r="A87" s="31" t="inlineStr">
        <is>
          <t>D014__DTT</t>
        </is>
      </c>
      <c r="B87" s="31" t="inlineStr">
        <is>
          <t>D014</t>
        </is>
      </c>
      <c r="C87" s="31" t="inlineStr">
        <is>
          <t>DTT</t>
        </is>
      </c>
      <c r="D87" s="47">
        <f>AVERAGE(RAW_PERFORMANCE!F245,RAW_PERFORMANCE!F246,RAW_PERFORMANCE!F247)</f>
        <v/>
      </c>
      <c r="E87" s="47">
        <f>AVERAGE(RAW_PERFORMANCE!G245,RAW_PERFORMANCE!G246,RAW_PERFORMANCE!G247)</f>
        <v/>
      </c>
      <c r="F87" s="47">
        <f>AVERAGE(RAW_PERFORMANCE!H245,RAW_PERFORMANCE!H246,RAW_PERFORMANCE!H247)</f>
        <v/>
      </c>
      <c r="G87" s="47">
        <f>AVERAGE(RAW_PERFORMANCE!I245,RAW_PERFORMANCE!I246,RAW_PERFORMANCE!I247)</f>
        <v/>
      </c>
      <c r="H87" s="48" t="n">
        <v>1</v>
      </c>
      <c r="I87" s="49">
        <f>COUNT(RAW_PERFORMANCE!F245,RAW_PERFORMANCE!F246,RAW_PERFORMANCE!F247)</f>
        <v/>
      </c>
      <c r="J87" s="35">
        <f>AVERAGE(RAW_PERFORMANCE!K245,RAW_PERFORMANCE!K246,RAW_PERFORMANCE!K247)</f>
        <v/>
      </c>
      <c r="K87" s="35">
        <f>AVERAGE(RAW_PERFORMANCE!L245,RAW_PERFORMANCE!L246,RAW_PERFORMANCE!L247)</f>
        <v/>
      </c>
      <c r="L87" s="35">
        <f>AVERAGE(RAW_PERFORMANCE!M245,RAW_PERFORMANCE!M246,RAW_PERFORMANCE!M247)</f>
        <v/>
      </c>
      <c r="M87" s="35">
        <f>AVERAGE(RAW_PERFORMANCE!J245,RAW_PERFORMANCE!J246,RAW_PERFORMANCE!J247)</f>
        <v/>
      </c>
      <c r="N87" s="35">
        <f>AVERAGE(RAW_PERFORMANCE!P245,RAW_PERFORMANCE!P246,RAW_PERFORMANCE!P247)</f>
        <v/>
      </c>
      <c r="O87" s="31" t="inlineStr">
        <is>
          <t>COMPLETED DEVELOPMENT</t>
        </is>
      </c>
      <c r="P87" s="31" t="n"/>
    </row>
    <row r="88" ht="24" customHeight="1">
      <c r="A88" s="31" t="inlineStr">
        <is>
          <t>D014__ECO</t>
        </is>
      </c>
      <c r="B88" s="31" t="inlineStr">
        <is>
          <t>D014</t>
        </is>
      </c>
      <c r="C88" s="31" t="inlineStr">
        <is>
          <t>ECO</t>
        </is>
      </c>
      <c r="D88" s="47">
        <f>AVERAGE(RAW_PERFORMANCE!F248,RAW_PERFORMANCE!F249,RAW_PERFORMANCE!F250)</f>
        <v/>
      </c>
      <c r="E88" s="47">
        <f>AVERAGE(RAW_PERFORMANCE!G248,RAW_PERFORMANCE!G249,RAW_PERFORMANCE!G250)</f>
        <v/>
      </c>
      <c r="F88" s="47">
        <f>AVERAGE(RAW_PERFORMANCE!H248,RAW_PERFORMANCE!H249,RAW_PERFORMANCE!H250)</f>
        <v/>
      </c>
      <c r="G88" s="47">
        <f>AVERAGE(RAW_PERFORMANCE!I248,RAW_PERFORMANCE!I249,RAW_PERFORMANCE!I250)</f>
        <v/>
      </c>
      <c r="H88" s="48" t="n">
        <v>1</v>
      </c>
      <c r="I88" s="49">
        <f>COUNT(RAW_PERFORMANCE!F248,RAW_PERFORMANCE!F249,RAW_PERFORMANCE!F250)</f>
        <v/>
      </c>
      <c r="J88" s="35">
        <f>AVERAGE(RAW_PERFORMANCE!K248,RAW_PERFORMANCE!K249,RAW_PERFORMANCE!K250)</f>
        <v/>
      </c>
      <c r="K88" s="35">
        <f>AVERAGE(RAW_PERFORMANCE!L248,RAW_PERFORMANCE!L249,RAW_PERFORMANCE!L250)</f>
        <v/>
      </c>
      <c r="L88" s="35">
        <f>AVERAGE(RAW_PERFORMANCE!M248,RAW_PERFORMANCE!M249,RAW_PERFORMANCE!M250)</f>
        <v/>
      </c>
      <c r="M88" s="35">
        <f>AVERAGE(RAW_PERFORMANCE!J248,RAW_PERFORMANCE!J249,RAW_PERFORMANCE!J250)</f>
        <v/>
      </c>
      <c r="N88" s="35">
        <f>AVERAGE(RAW_PERFORMANCE!P248,RAW_PERFORMANCE!P249,RAW_PERFORMANCE!P250)</f>
        <v/>
      </c>
      <c r="O88" s="31" t="inlineStr">
        <is>
          <t>COMPLETED DEVELOPMENT</t>
        </is>
      </c>
      <c r="P88" s="31" t="n"/>
    </row>
    <row r="89" ht="24" customHeight="1">
      <c r="A89" s="31" t="inlineStr">
        <is>
          <t>D014__TECO05</t>
        </is>
      </c>
      <c r="B89" s="31" t="inlineStr">
        <is>
          <t>D014</t>
        </is>
      </c>
      <c r="C89" s="31" t="inlineStr">
        <is>
          <t>TECO05</t>
        </is>
      </c>
      <c r="D89" s="47">
        <f>AVERAGE(RAW_PERFORMANCE!F251,RAW_PERFORMANCE!F252,RAW_PERFORMANCE!F253)</f>
        <v/>
      </c>
      <c r="E89" s="47">
        <f>AVERAGE(RAW_PERFORMANCE!G251,RAW_PERFORMANCE!G252,RAW_PERFORMANCE!G253)</f>
        <v/>
      </c>
      <c r="F89" s="47">
        <f>AVERAGE(RAW_PERFORMANCE!H251,RAW_PERFORMANCE!H252,RAW_PERFORMANCE!H253)</f>
        <v/>
      </c>
      <c r="G89" s="47">
        <f>AVERAGE(RAW_PERFORMANCE!I251,RAW_PERFORMANCE!I252,RAW_PERFORMANCE!I253)</f>
        <v/>
      </c>
      <c r="H89" s="48" t="n">
        <v>0</v>
      </c>
      <c r="I89" s="49">
        <f>COUNT(RAW_PERFORMANCE!F251,RAW_PERFORMANCE!F252,RAW_PERFORMANCE!F253)</f>
        <v/>
      </c>
      <c r="J89" s="35">
        <f>AVERAGE(RAW_PERFORMANCE!K251,RAW_PERFORMANCE!K252,RAW_PERFORMANCE!K253)</f>
        <v/>
      </c>
      <c r="K89" s="35">
        <f>AVERAGE(RAW_PERFORMANCE!L251,RAW_PERFORMANCE!L252,RAW_PERFORMANCE!L253)</f>
        <v/>
      </c>
      <c r="L89" s="35">
        <f>AVERAGE(RAW_PERFORMANCE!M251,RAW_PERFORMANCE!M252,RAW_PERFORMANCE!M253)</f>
        <v/>
      </c>
      <c r="M89" s="35">
        <f>AVERAGE(RAW_PERFORMANCE!J251,RAW_PERFORMANCE!J252,RAW_PERFORMANCE!J253)</f>
        <v/>
      </c>
      <c r="N89" s="35">
        <f>AVERAGE(RAW_PERFORMANCE!P251,RAW_PERFORMANCE!P252,RAW_PERFORMANCE!P253)</f>
        <v/>
      </c>
      <c r="O89" s="31" t="inlineStr">
        <is>
          <t>COMPLETED DEVELOPMENT</t>
        </is>
      </c>
      <c r="P89" s="31" t="n"/>
    </row>
    <row r="90" ht="24" customHeight="1">
      <c r="A90" s="31" t="inlineStr">
        <is>
          <t>D014__TECO10</t>
        </is>
      </c>
      <c r="B90" s="31" t="inlineStr">
        <is>
          <t>D014</t>
        </is>
      </c>
      <c r="C90" s="31" t="inlineStr">
        <is>
          <t>TECO10</t>
        </is>
      </c>
      <c r="D90" s="47">
        <f>AVERAGE(RAW_PERFORMANCE!F254,RAW_PERFORMANCE!F255,RAW_PERFORMANCE!F256)</f>
        <v/>
      </c>
      <c r="E90" s="47">
        <f>AVERAGE(RAW_PERFORMANCE!G254,RAW_PERFORMANCE!G255,RAW_PERFORMANCE!G256)</f>
        <v/>
      </c>
      <c r="F90" s="47">
        <f>AVERAGE(RAW_PERFORMANCE!H254,RAW_PERFORMANCE!H255,RAW_PERFORMANCE!H256)</f>
        <v/>
      </c>
      <c r="G90" s="47">
        <f>AVERAGE(RAW_PERFORMANCE!I254,RAW_PERFORMANCE!I255,RAW_PERFORMANCE!I256)</f>
        <v/>
      </c>
      <c r="H90" s="48" t="n">
        <v>1</v>
      </c>
      <c r="I90" s="49">
        <f>COUNT(RAW_PERFORMANCE!F254,RAW_PERFORMANCE!F255,RAW_PERFORMANCE!F256)</f>
        <v/>
      </c>
      <c r="J90" s="35">
        <f>AVERAGE(RAW_PERFORMANCE!K254,RAW_PERFORMANCE!K255,RAW_PERFORMANCE!K256)</f>
        <v/>
      </c>
      <c r="K90" s="35">
        <f>AVERAGE(RAW_PERFORMANCE!L254,RAW_PERFORMANCE!L255,RAW_PERFORMANCE!L256)</f>
        <v/>
      </c>
      <c r="L90" s="35">
        <f>AVERAGE(RAW_PERFORMANCE!M254,RAW_PERFORMANCE!M255,RAW_PERFORMANCE!M256)</f>
        <v/>
      </c>
      <c r="M90" s="35">
        <f>AVERAGE(RAW_PERFORMANCE!J254,RAW_PERFORMANCE!J255,RAW_PERFORMANCE!J256)</f>
        <v/>
      </c>
      <c r="N90" s="35">
        <f>AVERAGE(RAW_PERFORMANCE!P254,RAW_PERFORMANCE!P255,RAW_PERFORMANCE!P256)</f>
        <v/>
      </c>
      <c r="O90" s="31" t="inlineStr">
        <is>
          <t>COMPLETED DEVELOPMENT</t>
        </is>
      </c>
      <c r="P90" s="31" t="n"/>
    </row>
    <row r="91" ht="24" customHeight="1">
      <c r="A91" s="31" t="inlineStr">
        <is>
          <t>D014__TECO15</t>
        </is>
      </c>
      <c r="B91" s="31" t="inlineStr">
        <is>
          <t>D014</t>
        </is>
      </c>
      <c r="C91" s="31" t="inlineStr">
        <is>
          <t>TECO15</t>
        </is>
      </c>
      <c r="D91" s="47">
        <f>AVERAGE(RAW_PERFORMANCE!F257,RAW_PERFORMANCE!F258,RAW_PERFORMANCE!F259)</f>
        <v/>
      </c>
      <c r="E91" s="47">
        <f>AVERAGE(RAW_PERFORMANCE!G257,RAW_PERFORMANCE!G258,RAW_PERFORMANCE!G259)</f>
        <v/>
      </c>
      <c r="F91" s="47">
        <f>AVERAGE(RAW_PERFORMANCE!H257,RAW_PERFORMANCE!H258,RAW_PERFORMANCE!H259)</f>
        <v/>
      </c>
      <c r="G91" s="47">
        <f>AVERAGE(RAW_PERFORMANCE!I257,RAW_PERFORMANCE!I258,RAW_PERFORMANCE!I259)</f>
        <v/>
      </c>
      <c r="H91" s="48" t="n">
        <v>0</v>
      </c>
      <c r="I91" s="49">
        <f>COUNT(RAW_PERFORMANCE!F257,RAW_PERFORMANCE!F258,RAW_PERFORMANCE!F259)</f>
        <v/>
      </c>
      <c r="J91" s="35">
        <f>AVERAGE(RAW_PERFORMANCE!K257,RAW_PERFORMANCE!K258,RAW_PERFORMANCE!K259)</f>
        <v/>
      </c>
      <c r="K91" s="35">
        <f>AVERAGE(RAW_PERFORMANCE!L257,RAW_PERFORMANCE!L258,RAW_PERFORMANCE!L259)</f>
        <v/>
      </c>
      <c r="L91" s="35">
        <f>AVERAGE(RAW_PERFORMANCE!M257,RAW_PERFORMANCE!M258,RAW_PERFORMANCE!M259)</f>
        <v/>
      </c>
      <c r="M91" s="35">
        <f>AVERAGE(RAW_PERFORMANCE!J257,RAW_PERFORMANCE!J258,RAW_PERFORMANCE!J259)</f>
        <v/>
      </c>
      <c r="N91" s="35">
        <f>AVERAGE(RAW_PERFORMANCE!P257,RAW_PERFORMANCE!P258,RAW_PERFORMANCE!P259)</f>
        <v/>
      </c>
      <c r="O91" s="31" t="inlineStr">
        <is>
          <t>COMPLETED DEVELOPMENT</t>
        </is>
      </c>
      <c r="P91" s="31" t="n"/>
    </row>
    <row r="92" ht="24" customHeight="1">
      <c r="A92" s="31" t="inlineStr">
        <is>
          <t>D015__SP</t>
        </is>
      </c>
      <c r="B92" s="31" t="inlineStr">
        <is>
          <t>D015</t>
        </is>
      </c>
      <c r="C92" s="31" t="inlineStr">
        <is>
          <t>SP</t>
        </is>
      </c>
      <c r="D92" s="47">
        <f>AVERAGE(RAW_PERFORMANCE!F260,RAW_PERFORMANCE!F261,RAW_PERFORMANCE!F262)</f>
        <v/>
      </c>
      <c r="E92" s="47">
        <f>AVERAGE(RAW_PERFORMANCE!G260,RAW_PERFORMANCE!G261,RAW_PERFORMANCE!G262)</f>
        <v/>
      </c>
      <c r="F92" s="47">
        <f>AVERAGE(RAW_PERFORMANCE!H260,RAW_PERFORMANCE!H261,RAW_PERFORMANCE!H262)</f>
        <v/>
      </c>
      <c r="G92" s="47">
        <f>AVERAGE(RAW_PERFORMANCE!I260,RAW_PERFORMANCE!I261,RAW_PERFORMANCE!I262)</f>
        <v/>
      </c>
      <c r="H92" s="48" t="n">
        <v>1</v>
      </c>
      <c r="I92" s="49">
        <f>COUNT(RAW_PERFORMANCE!F260,RAW_PERFORMANCE!F261,RAW_PERFORMANCE!F262)</f>
        <v/>
      </c>
      <c r="J92" s="35">
        <f>AVERAGE(RAW_PERFORMANCE!K260,RAW_PERFORMANCE!K261,RAW_PERFORMANCE!K262)</f>
        <v/>
      </c>
      <c r="K92" s="35">
        <f>AVERAGE(RAW_PERFORMANCE!L260,RAW_PERFORMANCE!L261,RAW_PERFORMANCE!L262)</f>
        <v/>
      </c>
      <c r="L92" s="35">
        <f>AVERAGE(RAW_PERFORMANCE!M260,RAW_PERFORMANCE!M261,RAW_PERFORMANCE!M262)</f>
        <v/>
      </c>
      <c r="M92" s="35">
        <f>AVERAGE(RAW_PERFORMANCE!J260,RAW_PERFORMANCE!J261,RAW_PERFORMANCE!J262)</f>
        <v/>
      </c>
      <c r="N92" s="35">
        <f>AVERAGE(RAW_PERFORMANCE!P260,RAW_PERFORMANCE!P261,RAW_PERFORMANCE!P262)</f>
        <v/>
      </c>
      <c r="O92" s="31" t="inlineStr">
        <is>
          <t>COMPLETED DEVELOPMENT</t>
        </is>
      </c>
      <c r="P92" s="31" t="n"/>
    </row>
    <row r="93" ht="24" customHeight="1">
      <c r="A93" s="31" t="inlineStr">
        <is>
          <t>D015__DTT</t>
        </is>
      </c>
      <c r="B93" s="31" t="inlineStr">
        <is>
          <t>D015</t>
        </is>
      </c>
      <c r="C93" s="31" t="inlineStr">
        <is>
          <t>DTT</t>
        </is>
      </c>
      <c r="D93" s="47">
        <f>AVERAGE(RAW_PERFORMANCE!F263,RAW_PERFORMANCE!F264,RAW_PERFORMANCE!F265)</f>
        <v/>
      </c>
      <c r="E93" s="47">
        <f>AVERAGE(RAW_PERFORMANCE!G263,RAW_PERFORMANCE!G264,RAW_PERFORMANCE!G265)</f>
        <v/>
      </c>
      <c r="F93" s="47">
        <f>AVERAGE(RAW_PERFORMANCE!H263,RAW_PERFORMANCE!H264,RAW_PERFORMANCE!H265)</f>
        <v/>
      </c>
      <c r="G93" s="47">
        <f>AVERAGE(RAW_PERFORMANCE!I263,RAW_PERFORMANCE!I264,RAW_PERFORMANCE!I265)</f>
        <v/>
      </c>
      <c r="H93" s="48" t="n">
        <v>1</v>
      </c>
      <c r="I93" s="49">
        <f>COUNT(RAW_PERFORMANCE!F263,RAW_PERFORMANCE!F264,RAW_PERFORMANCE!F265)</f>
        <v/>
      </c>
      <c r="J93" s="35">
        <f>AVERAGE(RAW_PERFORMANCE!K263,RAW_PERFORMANCE!K264,RAW_PERFORMANCE!K265)</f>
        <v/>
      </c>
      <c r="K93" s="35">
        <f>AVERAGE(RAW_PERFORMANCE!L263,RAW_PERFORMANCE!L264,RAW_PERFORMANCE!L265)</f>
        <v/>
      </c>
      <c r="L93" s="35">
        <f>AVERAGE(RAW_PERFORMANCE!M263,RAW_PERFORMANCE!M264,RAW_PERFORMANCE!M265)</f>
        <v/>
      </c>
      <c r="M93" s="35">
        <f>AVERAGE(RAW_PERFORMANCE!J263,RAW_PERFORMANCE!J264,RAW_PERFORMANCE!J265)</f>
        <v/>
      </c>
      <c r="N93" s="35">
        <f>AVERAGE(RAW_PERFORMANCE!P263,RAW_PERFORMANCE!P264,RAW_PERFORMANCE!P265)</f>
        <v/>
      </c>
      <c r="O93" s="31" t="inlineStr">
        <is>
          <t>COMPLETED DEVELOPMENT</t>
        </is>
      </c>
      <c r="P93" s="31" t="n"/>
    </row>
    <row r="94" ht="24" customHeight="1">
      <c r="A94" s="31" t="inlineStr">
        <is>
          <t>D015__ECO</t>
        </is>
      </c>
      <c r="B94" s="31" t="inlineStr">
        <is>
          <t>D015</t>
        </is>
      </c>
      <c r="C94" s="31" t="inlineStr">
        <is>
          <t>ECO</t>
        </is>
      </c>
      <c r="D94" s="47">
        <f>AVERAGE(RAW_PERFORMANCE!F266,RAW_PERFORMANCE!F267,RAW_PERFORMANCE!F268)</f>
        <v/>
      </c>
      <c r="E94" s="47">
        <f>AVERAGE(RAW_PERFORMANCE!G266,RAW_PERFORMANCE!G267,RAW_PERFORMANCE!G268)</f>
        <v/>
      </c>
      <c r="F94" s="47">
        <f>AVERAGE(RAW_PERFORMANCE!H266,RAW_PERFORMANCE!H267,RAW_PERFORMANCE!H268)</f>
        <v/>
      </c>
      <c r="G94" s="47">
        <f>AVERAGE(RAW_PERFORMANCE!I266,RAW_PERFORMANCE!I267,RAW_PERFORMANCE!I268)</f>
        <v/>
      </c>
      <c r="H94" s="48" t="n">
        <v>1</v>
      </c>
      <c r="I94" s="49">
        <f>COUNT(RAW_PERFORMANCE!F266,RAW_PERFORMANCE!F267,RAW_PERFORMANCE!F268)</f>
        <v/>
      </c>
      <c r="J94" s="35">
        <f>AVERAGE(RAW_PERFORMANCE!K266,RAW_PERFORMANCE!K267,RAW_PERFORMANCE!K268)</f>
        <v/>
      </c>
      <c r="K94" s="35">
        <f>AVERAGE(RAW_PERFORMANCE!L266,RAW_PERFORMANCE!L267,RAW_PERFORMANCE!L268)</f>
        <v/>
      </c>
      <c r="L94" s="35">
        <f>AVERAGE(RAW_PERFORMANCE!M266,RAW_PERFORMANCE!M267,RAW_PERFORMANCE!M268)</f>
        <v/>
      </c>
      <c r="M94" s="35">
        <f>AVERAGE(RAW_PERFORMANCE!J266,RAW_PERFORMANCE!J267,RAW_PERFORMANCE!J268)</f>
        <v/>
      </c>
      <c r="N94" s="35">
        <f>AVERAGE(RAW_PERFORMANCE!P266,RAW_PERFORMANCE!P267,RAW_PERFORMANCE!P268)</f>
        <v/>
      </c>
      <c r="O94" s="31" t="inlineStr">
        <is>
          <t>COMPLETED DEVELOPMENT</t>
        </is>
      </c>
      <c r="P94" s="31" t="n"/>
    </row>
    <row r="95" ht="24" customHeight="1">
      <c r="A95" s="31" t="inlineStr">
        <is>
          <t>D015__TECO05</t>
        </is>
      </c>
      <c r="B95" s="31" t="inlineStr">
        <is>
          <t>D015</t>
        </is>
      </c>
      <c r="C95" s="31" t="inlineStr">
        <is>
          <t>TECO05</t>
        </is>
      </c>
      <c r="D95" s="47">
        <f>AVERAGE(RAW_PERFORMANCE!F269,RAW_PERFORMANCE!F270,RAW_PERFORMANCE!F271)</f>
        <v/>
      </c>
      <c r="E95" s="47">
        <f>AVERAGE(RAW_PERFORMANCE!G269,RAW_PERFORMANCE!G270,RAW_PERFORMANCE!G271)</f>
        <v/>
      </c>
      <c r="F95" s="47">
        <f>AVERAGE(RAW_PERFORMANCE!H269,RAW_PERFORMANCE!H270,RAW_PERFORMANCE!H271)</f>
        <v/>
      </c>
      <c r="G95" s="47">
        <f>AVERAGE(RAW_PERFORMANCE!I269,RAW_PERFORMANCE!I270,RAW_PERFORMANCE!I271)</f>
        <v/>
      </c>
      <c r="H95" s="48" t="n">
        <v>0</v>
      </c>
      <c r="I95" s="49">
        <f>COUNT(RAW_PERFORMANCE!F269,RAW_PERFORMANCE!F270,RAW_PERFORMANCE!F271)</f>
        <v/>
      </c>
      <c r="J95" s="35">
        <f>AVERAGE(RAW_PERFORMANCE!K269,RAW_PERFORMANCE!K270,RAW_PERFORMANCE!K271)</f>
        <v/>
      </c>
      <c r="K95" s="35">
        <f>AVERAGE(RAW_PERFORMANCE!L269,RAW_PERFORMANCE!L270,RAW_PERFORMANCE!L271)</f>
        <v/>
      </c>
      <c r="L95" s="35">
        <f>AVERAGE(RAW_PERFORMANCE!M269,RAW_PERFORMANCE!M270,RAW_PERFORMANCE!M271)</f>
        <v/>
      </c>
      <c r="M95" s="35">
        <f>AVERAGE(RAW_PERFORMANCE!J269,RAW_PERFORMANCE!J270,RAW_PERFORMANCE!J271)</f>
        <v/>
      </c>
      <c r="N95" s="35">
        <f>AVERAGE(RAW_PERFORMANCE!P269,RAW_PERFORMANCE!P270,RAW_PERFORMANCE!P271)</f>
        <v/>
      </c>
      <c r="O95" s="31" t="inlineStr">
        <is>
          <t>COMPLETED DEVELOPMENT</t>
        </is>
      </c>
      <c r="P95" s="31" t="n"/>
    </row>
    <row r="96" ht="24" customHeight="1">
      <c r="A96" s="31" t="inlineStr">
        <is>
          <t>D015__TECO10</t>
        </is>
      </c>
      <c r="B96" s="31" t="inlineStr">
        <is>
          <t>D015</t>
        </is>
      </c>
      <c r="C96" s="31" t="inlineStr">
        <is>
          <t>TECO10</t>
        </is>
      </c>
      <c r="D96" s="47">
        <f>AVERAGE(RAW_PERFORMANCE!F272,RAW_PERFORMANCE!F273,RAW_PERFORMANCE!F274)</f>
        <v/>
      </c>
      <c r="E96" s="47">
        <f>AVERAGE(RAW_PERFORMANCE!G272,RAW_PERFORMANCE!G273,RAW_PERFORMANCE!G274)</f>
        <v/>
      </c>
      <c r="F96" s="47">
        <f>AVERAGE(RAW_PERFORMANCE!H272,RAW_PERFORMANCE!H273,RAW_PERFORMANCE!H274)</f>
        <v/>
      </c>
      <c r="G96" s="47">
        <f>AVERAGE(RAW_PERFORMANCE!I272,RAW_PERFORMANCE!I273,RAW_PERFORMANCE!I274)</f>
        <v/>
      </c>
      <c r="H96" s="48" t="n">
        <v>1</v>
      </c>
      <c r="I96" s="49">
        <f>COUNT(RAW_PERFORMANCE!F272,RAW_PERFORMANCE!F273,RAW_PERFORMANCE!F274)</f>
        <v/>
      </c>
      <c r="J96" s="35">
        <f>AVERAGE(RAW_PERFORMANCE!K272,RAW_PERFORMANCE!K273,RAW_PERFORMANCE!K274)</f>
        <v/>
      </c>
      <c r="K96" s="35">
        <f>AVERAGE(RAW_PERFORMANCE!L272,RAW_PERFORMANCE!L273,RAW_PERFORMANCE!L274)</f>
        <v/>
      </c>
      <c r="L96" s="35">
        <f>AVERAGE(RAW_PERFORMANCE!M272,RAW_PERFORMANCE!M273,RAW_PERFORMANCE!M274)</f>
        <v/>
      </c>
      <c r="M96" s="35">
        <f>AVERAGE(RAW_PERFORMANCE!J272,RAW_PERFORMANCE!J273,RAW_PERFORMANCE!J274)</f>
        <v/>
      </c>
      <c r="N96" s="35">
        <f>AVERAGE(RAW_PERFORMANCE!P272,RAW_PERFORMANCE!P273,RAW_PERFORMANCE!P274)</f>
        <v/>
      </c>
      <c r="O96" s="31" t="inlineStr">
        <is>
          <t>COMPLETED DEVELOPMENT</t>
        </is>
      </c>
      <c r="P96" s="31" t="n"/>
    </row>
    <row r="97" ht="24" customHeight="1">
      <c r="A97" s="31" t="inlineStr">
        <is>
          <t>D015__TECO15</t>
        </is>
      </c>
      <c r="B97" s="31" t="inlineStr">
        <is>
          <t>D015</t>
        </is>
      </c>
      <c r="C97" s="31" t="inlineStr">
        <is>
          <t>TECO15</t>
        </is>
      </c>
      <c r="D97" s="47">
        <f>AVERAGE(RAW_PERFORMANCE!F275,RAW_PERFORMANCE!F276,RAW_PERFORMANCE!F277)</f>
        <v/>
      </c>
      <c r="E97" s="47">
        <f>AVERAGE(RAW_PERFORMANCE!G275,RAW_PERFORMANCE!G276,RAW_PERFORMANCE!G277)</f>
        <v/>
      </c>
      <c r="F97" s="47">
        <f>AVERAGE(RAW_PERFORMANCE!H275,RAW_PERFORMANCE!H276,RAW_PERFORMANCE!H277)</f>
        <v/>
      </c>
      <c r="G97" s="47">
        <f>AVERAGE(RAW_PERFORMANCE!I275,RAW_PERFORMANCE!I276,RAW_PERFORMANCE!I277)</f>
        <v/>
      </c>
      <c r="H97" s="48" t="n">
        <v>0</v>
      </c>
      <c r="I97" s="49">
        <f>COUNT(RAW_PERFORMANCE!F275,RAW_PERFORMANCE!F276,RAW_PERFORMANCE!F277)</f>
        <v/>
      </c>
      <c r="J97" s="35">
        <f>AVERAGE(RAW_PERFORMANCE!K275,RAW_PERFORMANCE!K276,RAW_PERFORMANCE!K277)</f>
        <v/>
      </c>
      <c r="K97" s="35">
        <f>AVERAGE(RAW_PERFORMANCE!L275,RAW_PERFORMANCE!L276,RAW_PERFORMANCE!L277)</f>
        <v/>
      </c>
      <c r="L97" s="35">
        <f>AVERAGE(RAW_PERFORMANCE!M275,RAW_PERFORMANCE!M276,RAW_PERFORMANCE!M277)</f>
        <v/>
      </c>
      <c r="M97" s="35">
        <f>AVERAGE(RAW_PERFORMANCE!J275,RAW_PERFORMANCE!J276,RAW_PERFORMANCE!J277)</f>
        <v/>
      </c>
      <c r="N97" s="35">
        <f>AVERAGE(RAW_PERFORMANCE!P275,RAW_PERFORMANCE!P276,RAW_PERFORMANCE!P277)</f>
        <v/>
      </c>
      <c r="O97" s="31" t="inlineStr">
        <is>
          <t>COMPLETED DEVELOPMENT</t>
        </is>
      </c>
      <c r="P97" s="31" t="n"/>
    </row>
    <row r="98" ht="24" customHeight="1">
      <c r="A98" s="31" t="inlineStr">
        <is>
          <t>D016__SP</t>
        </is>
      </c>
      <c r="B98" s="31" t="inlineStr">
        <is>
          <t>D016</t>
        </is>
      </c>
      <c r="C98" s="31" t="inlineStr">
        <is>
          <t>SP</t>
        </is>
      </c>
      <c r="D98" s="47">
        <f>AVERAGE(RAW_PERFORMANCE!F278,RAW_PERFORMANCE!F279,RAW_PERFORMANCE!F280)</f>
        <v/>
      </c>
      <c r="E98" s="47">
        <f>AVERAGE(RAW_PERFORMANCE!G278,RAW_PERFORMANCE!G279,RAW_PERFORMANCE!G280)</f>
        <v/>
      </c>
      <c r="F98" s="47">
        <f>AVERAGE(RAW_PERFORMANCE!H278,RAW_PERFORMANCE!H279,RAW_PERFORMANCE!H280)</f>
        <v/>
      </c>
      <c r="G98" s="47">
        <f>AVERAGE(RAW_PERFORMANCE!I278,RAW_PERFORMANCE!I279,RAW_PERFORMANCE!I280)</f>
        <v/>
      </c>
      <c r="H98" s="48" t="n">
        <v>1</v>
      </c>
      <c r="I98" s="49">
        <f>COUNT(RAW_PERFORMANCE!F278,RAW_PERFORMANCE!F279,RAW_PERFORMANCE!F280)</f>
        <v/>
      </c>
      <c r="J98" s="35">
        <f>AVERAGE(RAW_PERFORMANCE!K278,RAW_PERFORMANCE!K279,RAW_PERFORMANCE!K280)</f>
        <v/>
      </c>
      <c r="K98" s="35">
        <f>AVERAGE(RAW_PERFORMANCE!L278,RAW_PERFORMANCE!L279,RAW_PERFORMANCE!L280)</f>
        <v/>
      </c>
      <c r="L98" s="35">
        <f>AVERAGE(RAW_PERFORMANCE!M278,RAW_PERFORMANCE!M279,RAW_PERFORMANCE!M280)</f>
        <v/>
      </c>
      <c r="M98" s="35">
        <f>AVERAGE(RAW_PERFORMANCE!J278,RAW_PERFORMANCE!J279,RAW_PERFORMANCE!J280)</f>
        <v/>
      </c>
      <c r="N98" s="35">
        <f>AVERAGE(RAW_PERFORMANCE!P278,RAW_PERFORMANCE!P279,RAW_PERFORMANCE!P280)</f>
        <v/>
      </c>
      <c r="O98" s="31" t="inlineStr">
        <is>
          <t>COMPLETED DEVELOPMENT</t>
        </is>
      </c>
      <c r="P98" s="31" t="n"/>
    </row>
    <row r="99" ht="24" customHeight="1">
      <c r="A99" s="31" t="inlineStr">
        <is>
          <t>D016__DTT</t>
        </is>
      </c>
      <c r="B99" s="31" t="inlineStr">
        <is>
          <t>D016</t>
        </is>
      </c>
      <c r="C99" s="31" t="inlineStr">
        <is>
          <t>DTT</t>
        </is>
      </c>
      <c r="D99" s="47">
        <f>AVERAGE(RAW_PERFORMANCE!F281,RAW_PERFORMANCE!F282,RAW_PERFORMANCE!F283)</f>
        <v/>
      </c>
      <c r="E99" s="47">
        <f>AVERAGE(RAW_PERFORMANCE!G281,RAW_PERFORMANCE!G282,RAW_PERFORMANCE!G283)</f>
        <v/>
      </c>
      <c r="F99" s="47">
        <f>AVERAGE(RAW_PERFORMANCE!H281,RAW_PERFORMANCE!H282,RAW_PERFORMANCE!H283)</f>
        <v/>
      </c>
      <c r="G99" s="47">
        <f>AVERAGE(RAW_PERFORMANCE!I281,RAW_PERFORMANCE!I282,RAW_PERFORMANCE!I283)</f>
        <v/>
      </c>
      <c r="H99" s="48" t="n">
        <v>1</v>
      </c>
      <c r="I99" s="49">
        <f>COUNT(RAW_PERFORMANCE!F281,RAW_PERFORMANCE!F282,RAW_PERFORMANCE!F283)</f>
        <v/>
      </c>
      <c r="J99" s="35">
        <f>AVERAGE(RAW_PERFORMANCE!K281,RAW_PERFORMANCE!K282,RAW_PERFORMANCE!K283)</f>
        <v/>
      </c>
      <c r="K99" s="35">
        <f>AVERAGE(RAW_PERFORMANCE!L281,RAW_PERFORMANCE!L282,RAW_PERFORMANCE!L283)</f>
        <v/>
      </c>
      <c r="L99" s="35">
        <f>AVERAGE(RAW_PERFORMANCE!M281,RAW_PERFORMANCE!M282,RAW_PERFORMANCE!M283)</f>
        <v/>
      </c>
      <c r="M99" s="35">
        <f>AVERAGE(RAW_PERFORMANCE!J281,RAW_PERFORMANCE!J282,RAW_PERFORMANCE!J283)</f>
        <v/>
      </c>
      <c r="N99" s="35">
        <f>AVERAGE(RAW_PERFORMANCE!P281,RAW_PERFORMANCE!P282,RAW_PERFORMANCE!P283)</f>
        <v/>
      </c>
      <c r="O99" s="31" t="inlineStr">
        <is>
          <t>COMPLETED DEVELOPMENT</t>
        </is>
      </c>
      <c r="P99" s="31" t="n"/>
    </row>
    <row r="100" ht="24" customHeight="1">
      <c r="A100" s="31" t="inlineStr">
        <is>
          <t>D016__ECO</t>
        </is>
      </c>
      <c r="B100" s="31" t="inlineStr">
        <is>
          <t>D016</t>
        </is>
      </c>
      <c r="C100" s="31" t="inlineStr">
        <is>
          <t>ECO</t>
        </is>
      </c>
      <c r="D100" s="47">
        <f>AVERAGE(RAW_PERFORMANCE!F284,RAW_PERFORMANCE!F285,RAW_PERFORMANCE!F286)</f>
        <v/>
      </c>
      <c r="E100" s="47">
        <f>AVERAGE(RAW_PERFORMANCE!G284,RAW_PERFORMANCE!G285,RAW_PERFORMANCE!G286)</f>
        <v/>
      </c>
      <c r="F100" s="47">
        <f>AVERAGE(RAW_PERFORMANCE!H284,RAW_PERFORMANCE!H285,RAW_PERFORMANCE!H286)</f>
        <v/>
      </c>
      <c r="G100" s="47">
        <f>AVERAGE(RAW_PERFORMANCE!I284,RAW_PERFORMANCE!I285,RAW_PERFORMANCE!I286)</f>
        <v/>
      </c>
      <c r="H100" s="48" t="n">
        <v>1</v>
      </c>
      <c r="I100" s="49">
        <f>COUNT(RAW_PERFORMANCE!F284,RAW_PERFORMANCE!F285,RAW_PERFORMANCE!F286)</f>
        <v/>
      </c>
      <c r="J100" s="35">
        <f>AVERAGE(RAW_PERFORMANCE!K284,RAW_PERFORMANCE!K285,RAW_PERFORMANCE!K286)</f>
        <v/>
      </c>
      <c r="K100" s="35">
        <f>AVERAGE(RAW_PERFORMANCE!L284,RAW_PERFORMANCE!L285,RAW_PERFORMANCE!L286)</f>
        <v/>
      </c>
      <c r="L100" s="35">
        <f>AVERAGE(RAW_PERFORMANCE!M284,RAW_PERFORMANCE!M285,RAW_PERFORMANCE!M286)</f>
        <v/>
      </c>
      <c r="M100" s="35">
        <f>AVERAGE(RAW_PERFORMANCE!J284,RAW_PERFORMANCE!J285,RAW_PERFORMANCE!J286)</f>
        <v/>
      </c>
      <c r="N100" s="35">
        <f>AVERAGE(RAW_PERFORMANCE!P284,RAW_PERFORMANCE!P285,RAW_PERFORMANCE!P286)</f>
        <v/>
      </c>
      <c r="O100" s="31" t="inlineStr">
        <is>
          <t>COMPLETED DEVELOPMENT</t>
        </is>
      </c>
      <c r="P100" s="31" t="n"/>
    </row>
    <row r="101" ht="24" customHeight="1">
      <c r="A101" s="31" t="inlineStr">
        <is>
          <t>D016__TECO05</t>
        </is>
      </c>
      <c r="B101" s="31" t="inlineStr">
        <is>
          <t>D016</t>
        </is>
      </c>
      <c r="C101" s="31" t="inlineStr">
        <is>
          <t>TECO05</t>
        </is>
      </c>
      <c r="D101" s="47">
        <f>AVERAGE(RAW_PERFORMANCE!F287,RAW_PERFORMANCE!F288,RAW_PERFORMANCE!F289)</f>
        <v/>
      </c>
      <c r="E101" s="47">
        <f>AVERAGE(RAW_PERFORMANCE!G287,RAW_PERFORMANCE!G288,RAW_PERFORMANCE!G289)</f>
        <v/>
      </c>
      <c r="F101" s="47">
        <f>AVERAGE(RAW_PERFORMANCE!H287,RAW_PERFORMANCE!H288,RAW_PERFORMANCE!H289)</f>
        <v/>
      </c>
      <c r="G101" s="47">
        <f>AVERAGE(RAW_PERFORMANCE!I287,RAW_PERFORMANCE!I288,RAW_PERFORMANCE!I289)</f>
        <v/>
      </c>
      <c r="H101" s="48" t="n">
        <v>0</v>
      </c>
      <c r="I101" s="49">
        <f>COUNT(RAW_PERFORMANCE!F287,RAW_PERFORMANCE!F288,RAW_PERFORMANCE!F289)</f>
        <v/>
      </c>
      <c r="J101" s="35">
        <f>AVERAGE(RAW_PERFORMANCE!K287,RAW_PERFORMANCE!K288,RAW_PERFORMANCE!K289)</f>
        <v/>
      </c>
      <c r="K101" s="35">
        <f>AVERAGE(RAW_PERFORMANCE!L287,RAW_PERFORMANCE!L288,RAW_PERFORMANCE!L289)</f>
        <v/>
      </c>
      <c r="L101" s="35">
        <f>AVERAGE(RAW_PERFORMANCE!M287,RAW_PERFORMANCE!M288,RAW_PERFORMANCE!M289)</f>
        <v/>
      </c>
      <c r="M101" s="35">
        <f>AVERAGE(RAW_PERFORMANCE!J287,RAW_PERFORMANCE!J288,RAW_PERFORMANCE!J289)</f>
        <v/>
      </c>
      <c r="N101" s="35">
        <f>AVERAGE(RAW_PERFORMANCE!P287,RAW_PERFORMANCE!P288,RAW_PERFORMANCE!P289)</f>
        <v/>
      </c>
      <c r="O101" s="31" t="inlineStr">
        <is>
          <t>COMPLETED DEVELOPMENT</t>
        </is>
      </c>
      <c r="P101" s="31" t="n"/>
    </row>
    <row r="102" ht="24" customHeight="1">
      <c r="A102" s="31" t="inlineStr">
        <is>
          <t>D016__TECO10</t>
        </is>
      </c>
      <c r="B102" s="31" t="inlineStr">
        <is>
          <t>D016</t>
        </is>
      </c>
      <c r="C102" s="31" t="inlineStr">
        <is>
          <t>TECO10</t>
        </is>
      </c>
      <c r="D102" s="47">
        <f>AVERAGE(RAW_PERFORMANCE!F290,RAW_PERFORMANCE!F291,RAW_PERFORMANCE!F292)</f>
        <v/>
      </c>
      <c r="E102" s="47">
        <f>AVERAGE(RAW_PERFORMANCE!G290,RAW_PERFORMANCE!G291,RAW_PERFORMANCE!G292)</f>
        <v/>
      </c>
      <c r="F102" s="47">
        <f>AVERAGE(RAW_PERFORMANCE!H290,RAW_PERFORMANCE!H291,RAW_PERFORMANCE!H292)</f>
        <v/>
      </c>
      <c r="G102" s="47">
        <f>AVERAGE(RAW_PERFORMANCE!I290,RAW_PERFORMANCE!I291,RAW_PERFORMANCE!I292)</f>
        <v/>
      </c>
      <c r="H102" s="48" t="n">
        <v>1</v>
      </c>
      <c r="I102" s="49">
        <f>COUNT(RAW_PERFORMANCE!F290,RAW_PERFORMANCE!F291,RAW_PERFORMANCE!F292)</f>
        <v/>
      </c>
      <c r="J102" s="35">
        <f>AVERAGE(RAW_PERFORMANCE!K290,RAW_PERFORMANCE!K291,RAW_PERFORMANCE!K292)</f>
        <v/>
      </c>
      <c r="K102" s="35">
        <f>AVERAGE(RAW_PERFORMANCE!L290,RAW_PERFORMANCE!L291,RAW_PERFORMANCE!L292)</f>
        <v/>
      </c>
      <c r="L102" s="35">
        <f>AVERAGE(RAW_PERFORMANCE!M290,RAW_PERFORMANCE!M291,RAW_PERFORMANCE!M292)</f>
        <v/>
      </c>
      <c r="M102" s="35">
        <f>AVERAGE(RAW_PERFORMANCE!J290,RAW_PERFORMANCE!J291,RAW_PERFORMANCE!J292)</f>
        <v/>
      </c>
      <c r="N102" s="35">
        <f>AVERAGE(RAW_PERFORMANCE!P290,RAW_PERFORMANCE!P291,RAW_PERFORMANCE!P292)</f>
        <v/>
      </c>
      <c r="O102" s="31" t="inlineStr">
        <is>
          <t>COMPLETED DEVELOPMENT</t>
        </is>
      </c>
      <c r="P102" s="31" t="n"/>
    </row>
    <row r="103" ht="24" customHeight="1">
      <c r="A103" s="31" t="inlineStr">
        <is>
          <t>D016__TECO15</t>
        </is>
      </c>
      <c r="B103" s="31" t="inlineStr">
        <is>
          <t>D016</t>
        </is>
      </c>
      <c r="C103" s="31" t="inlineStr">
        <is>
          <t>TECO15</t>
        </is>
      </c>
      <c r="D103" s="47">
        <f>AVERAGE(RAW_PERFORMANCE!F293,RAW_PERFORMANCE!F294,RAW_PERFORMANCE!F295)</f>
        <v/>
      </c>
      <c r="E103" s="47">
        <f>AVERAGE(RAW_PERFORMANCE!G293,RAW_PERFORMANCE!G294,RAW_PERFORMANCE!G295)</f>
        <v/>
      </c>
      <c r="F103" s="47">
        <f>AVERAGE(RAW_PERFORMANCE!H293,RAW_PERFORMANCE!H294,RAW_PERFORMANCE!H295)</f>
        <v/>
      </c>
      <c r="G103" s="47">
        <f>AVERAGE(RAW_PERFORMANCE!I293,RAW_PERFORMANCE!I294,RAW_PERFORMANCE!I295)</f>
        <v/>
      </c>
      <c r="H103" s="48" t="n">
        <v>0</v>
      </c>
      <c r="I103" s="49">
        <f>COUNT(RAW_PERFORMANCE!F293,RAW_PERFORMANCE!F294,RAW_PERFORMANCE!F295)</f>
        <v/>
      </c>
      <c r="J103" s="35">
        <f>AVERAGE(RAW_PERFORMANCE!K293,RAW_PERFORMANCE!K294,RAW_PERFORMANCE!K295)</f>
        <v/>
      </c>
      <c r="K103" s="35">
        <f>AVERAGE(RAW_PERFORMANCE!L293,RAW_PERFORMANCE!L294,RAW_PERFORMANCE!L295)</f>
        <v/>
      </c>
      <c r="L103" s="35">
        <f>AVERAGE(RAW_PERFORMANCE!M293,RAW_PERFORMANCE!M294,RAW_PERFORMANCE!M295)</f>
        <v/>
      </c>
      <c r="M103" s="35">
        <f>AVERAGE(RAW_PERFORMANCE!J293,RAW_PERFORMANCE!J294,RAW_PERFORMANCE!J295)</f>
        <v/>
      </c>
      <c r="N103" s="35">
        <f>AVERAGE(RAW_PERFORMANCE!P293,RAW_PERFORMANCE!P294,RAW_PERFORMANCE!P295)</f>
        <v/>
      </c>
      <c r="O103" s="31" t="inlineStr">
        <is>
          <t>COMPLETED DEVELOPMENT</t>
        </is>
      </c>
      <c r="P103" s="31" t="n"/>
    </row>
    <row r="104" ht="24" customHeight="1">
      <c r="A104" s="31" t="inlineStr">
        <is>
          <t>D017__SP</t>
        </is>
      </c>
      <c r="B104" s="31" t="inlineStr">
        <is>
          <t>D017</t>
        </is>
      </c>
      <c r="C104" s="31" t="inlineStr">
        <is>
          <t>SP</t>
        </is>
      </c>
      <c r="D104" s="47">
        <f>AVERAGE(RAW_PERFORMANCE!F296,RAW_PERFORMANCE!F297,RAW_PERFORMANCE!F298)</f>
        <v/>
      </c>
      <c r="E104" s="47">
        <f>AVERAGE(RAW_PERFORMANCE!G296,RAW_PERFORMANCE!G297,RAW_PERFORMANCE!G298)</f>
        <v/>
      </c>
      <c r="F104" s="47">
        <f>AVERAGE(RAW_PERFORMANCE!H296,RAW_PERFORMANCE!H297,RAW_PERFORMANCE!H298)</f>
        <v/>
      </c>
      <c r="G104" s="47">
        <f>AVERAGE(RAW_PERFORMANCE!I296,RAW_PERFORMANCE!I297,RAW_PERFORMANCE!I298)</f>
        <v/>
      </c>
      <c r="H104" s="48" t="n">
        <v>1</v>
      </c>
      <c r="I104" s="49">
        <f>COUNT(RAW_PERFORMANCE!F296,RAW_PERFORMANCE!F297,RAW_PERFORMANCE!F298)</f>
        <v/>
      </c>
      <c r="J104" s="35">
        <f>AVERAGE(RAW_PERFORMANCE!K296,RAW_PERFORMANCE!K297,RAW_PERFORMANCE!K298)</f>
        <v/>
      </c>
      <c r="K104" s="35">
        <f>AVERAGE(RAW_PERFORMANCE!L296,RAW_PERFORMANCE!L297,RAW_PERFORMANCE!L298)</f>
        <v/>
      </c>
      <c r="L104" s="35">
        <f>AVERAGE(RAW_PERFORMANCE!M296,RAW_PERFORMANCE!M297,RAW_PERFORMANCE!M298)</f>
        <v/>
      </c>
      <c r="M104" s="35">
        <f>AVERAGE(RAW_PERFORMANCE!J296,RAW_PERFORMANCE!J297,RAW_PERFORMANCE!J298)</f>
        <v/>
      </c>
      <c r="N104" s="35">
        <f>AVERAGE(RAW_PERFORMANCE!P296,RAW_PERFORMANCE!P297,RAW_PERFORMANCE!P298)</f>
        <v/>
      </c>
      <c r="O104" s="31" t="inlineStr">
        <is>
          <t>COMPLETED DEVELOPMENT</t>
        </is>
      </c>
      <c r="P104" s="31" t="n"/>
    </row>
    <row r="105" ht="24" customHeight="1">
      <c r="A105" s="31" t="inlineStr">
        <is>
          <t>D017__DTT</t>
        </is>
      </c>
      <c r="B105" s="31" t="inlineStr">
        <is>
          <t>D017</t>
        </is>
      </c>
      <c r="C105" s="31" t="inlineStr">
        <is>
          <t>DTT</t>
        </is>
      </c>
      <c r="D105" s="47">
        <f>AVERAGE(RAW_PERFORMANCE!F299,RAW_PERFORMANCE!F300,RAW_PERFORMANCE!F301)</f>
        <v/>
      </c>
      <c r="E105" s="47">
        <f>AVERAGE(RAW_PERFORMANCE!G299,RAW_PERFORMANCE!G300,RAW_PERFORMANCE!G301)</f>
        <v/>
      </c>
      <c r="F105" s="47">
        <f>AVERAGE(RAW_PERFORMANCE!H299,RAW_PERFORMANCE!H300,RAW_PERFORMANCE!H301)</f>
        <v/>
      </c>
      <c r="G105" s="47">
        <f>AVERAGE(RAW_PERFORMANCE!I299,RAW_PERFORMANCE!I300,RAW_PERFORMANCE!I301)</f>
        <v/>
      </c>
      <c r="H105" s="48" t="n">
        <v>1</v>
      </c>
      <c r="I105" s="49">
        <f>COUNT(RAW_PERFORMANCE!F299,RAW_PERFORMANCE!F300,RAW_PERFORMANCE!F301)</f>
        <v/>
      </c>
      <c r="J105" s="35">
        <f>AVERAGE(RAW_PERFORMANCE!K299,RAW_PERFORMANCE!K300,RAW_PERFORMANCE!K301)</f>
        <v/>
      </c>
      <c r="K105" s="35">
        <f>AVERAGE(RAW_PERFORMANCE!L299,RAW_PERFORMANCE!L300,RAW_PERFORMANCE!L301)</f>
        <v/>
      </c>
      <c r="L105" s="35">
        <f>AVERAGE(RAW_PERFORMANCE!M299,RAW_PERFORMANCE!M300,RAW_PERFORMANCE!M301)</f>
        <v/>
      </c>
      <c r="M105" s="35">
        <f>AVERAGE(RAW_PERFORMANCE!J299,RAW_PERFORMANCE!J300,RAW_PERFORMANCE!J301)</f>
        <v/>
      </c>
      <c r="N105" s="35">
        <f>AVERAGE(RAW_PERFORMANCE!P299,RAW_PERFORMANCE!P300,RAW_PERFORMANCE!P301)</f>
        <v/>
      </c>
      <c r="O105" s="31" t="inlineStr">
        <is>
          <t>COMPLETED DEVELOPMENT</t>
        </is>
      </c>
      <c r="P105" s="31" t="n"/>
    </row>
    <row r="106" ht="24" customHeight="1">
      <c r="A106" s="31" t="inlineStr">
        <is>
          <t>D017__ECO</t>
        </is>
      </c>
      <c r="B106" s="31" t="inlineStr">
        <is>
          <t>D017</t>
        </is>
      </c>
      <c r="C106" s="31" t="inlineStr">
        <is>
          <t>ECO</t>
        </is>
      </c>
      <c r="D106" s="47">
        <f>AVERAGE(RAW_PERFORMANCE!F302,RAW_PERFORMANCE!F303,RAW_PERFORMANCE!F304)</f>
        <v/>
      </c>
      <c r="E106" s="47">
        <f>AVERAGE(RAW_PERFORMANCE!G302,RAW_PERFORMANCE!G303,RAW_PERFORMANCE!G304)</f>
        <v/>
      </c>
      <c r="F106" s="47">
        <f>AVERAGE(RAW_PERFORMANCE!H302,RAW_PERFORMANCE!H303,RAW_PERFORMANCE!H304)</f>
        <v/>
      </c>
      <c r="G106" s="47">
        <f>AVERAGE(RAW_PERFORMANCE!I302,RAW_PERFORMANCE!I303,RAW_PERFORMANCE!I304)</f>
        <v/>
      </c>
      <c r="H106" s="48" t="n">
        <v>1</v>
      </c>
      <c r="I106" s="49">
        <f>COUNT(RAW_PERFORMANCE!F302,RAW_PERFORMANCE!F303,RAW_PERFORMANCE!F304)</f>
        <v/>
      </c>
      <c r="J106" s="35">
        <f>AVERAGE(RAW_PERFORMANCE!K302,RAW_PERFORMANCE!K303,RAW_PERFORMANCE!K304)</f>
        <v/>
      </c>
      <c r="K106" s="35">
        <f>AVERAGE(RAW_PERFORMANCE!L302,RAW_PERFORMANCE!L303,RAW_PERFORMANCE!L304)</f>
        <v/>
      </c>
      <c r="L106" s="35">
        <f>AVERAGE(RAW_PERFORMANCE!M302,RAW_PERFORMANCE!M303,RAW_PERFORMANCE!M304)</f>
        <v/>
      </c>
      <c r="M106" s="35">
        <f>AVERAGE(RAW_PERFORMANCE!J302,RAW_PERFORMANCE!J303,RAW_PERFORMANCE!J304)</f>
        <v/>
      </c>
      <c r="N106" s="35">
        <f>AVERAGE(RAW_PERFORMANCE!P302,RAW_PERFORMANCE!P303,RAW_PERFORMANCE!P304)</f>
        <v/>
      </c>
      <c r="O106" s="31" t="inlineStr">
        <is>
          <t>COMPLETED DEVELOPMENT</t>
        </is>
      </c>
      <c r="P106" s="31" t="n"/>
    </row>
    <row r="107" ht="24" customHeight="1">
      <c r="A107" s="31" t="inlineStr">
        <is>
          <t>D017__TECO05</t>
        </is>
      </c>
      <c r="B107" s="31" t="inlineStr">
        <is>
          <t>D017</t>
        </is>
      </c>
      <c r="C107" s="31" t="inlineStr">
        <is>
          <t>TECO05</t>
        </is>
      </c>
      <c r="D107" s="47">
        <f>AVERAGE(RAW_PERFORMANCE!F305,RAW_PERFORMANCE!F306,RAW_PERFORMANCE!F307)</f>
        <v/>
      </c>
      <c r="E107" s="47">
        <f>AVERAGE(RAW_PERFORMANCE!G305,RAW_PERFORMANCE!G306,RAW_PERFORMANCE!G307)</f>
        <v/>
      </c>
      <c r="F107" s="47">
        <f>AVERAGE(RAW_PERFORMANCE!H305,RAW_PERFORMANCE!H306,RAW_PERFORMANCE!H307)</f>
        <v/>
      </c>
      <c r="G107" s="47">
        <f>AVERAGE(RAW_PERFORMANCE!I305,RAW_PERFORMANCE!I306,RAW_PERFORMANCE!I307)</f>
        <v/>
      </c>
      <c r="H107" s="48" t="n">
        <v>0</v>
      </c>
      <c r="I107" s="49">
        <f>COUNT(RAW_PERFORMANCE!F305,RAW_PERFORMANCE!F306,RAW_PERFORMANCE!F307)</f>
        <v/>
      </c>
      <c r="J107" s="35">
        <f>AVERAGE(RAW_PERFORMANCE!K305,RAW_PERFORMANCE!K306,RAW_PERFORMANCE!K307)</f>
        <v/>
      </c>
      <c r="K107" s="35">
        <f>AVERAGE(RAW_PERFORMANCE!L305,RAW_PERFORMANCE!L306,RAW_PERFORMANCE!L307)</f>
        <v/>
      </c>
      <c r="L107" s="35">
        <f>AVERAGE(RAW_PERFORMANCE!M305,RAW_PERFORMANCE!M306,RAW_PERFORMANCE!M307)</f>
        <v/>
      </c>
      <c r="M107" s="35">
        <f>AVERAGE(RAW_PERFORMANCE!J305,RAW_PERFORMANCE!J306,RAW_PERFORMANCE!J307)</f>
        <v/>
      </c>
      <c r="N107" s="35">
        <f>AVERAGE(RAW_PERFORMANCE!P305,RAW_PERFORMANCE!P306,RAW_PERFORMANCE!P307)</f>
        <v/>
      </c>
      <c r="O107" s="31" t="inlineStr">
        <is>
          <t>COMPLETED DEVELOPMENT</t>
        </is>
      </c>
      <c r="P107" s="31" t="n"/>
    </row>
    <row r="108" ht="24" customHeight="1">
      <c r="A108" s="31" t="inlineStr">
        <is>
          <t>D017__TECO10</t>
        </is>
      </c>
      <c r="B108" s="31" t="inlineStr">
        <is>
          <t>D017</t>
        </is>
      </c>
      <c r="C108" s="31" t="inlineStr">
        <is>
          <t>TECO10</t>
        </is>
      </c>
      <c r="D108" s="47">
        <f>AVERAGE(RAW_PERFORMANCE!F308,RAW_PERFORMANCE!F309,RAW_PERFORMANCE!F310)</f>
        <v/>
      </c>
      <c r="E108" s="47">
        <f>AVERAGE(RAW_PERFORMANCE!G308,RAW_PERFORMANCE!G309,RAW_PERFORMANCE!G310)</f>
        <v/>
      </c>
      <c r="F108" s="47">
        <f>AVERAGE(RAW_PERFORMANCE!H308,RAW_PERFORMANCE!H309,RAW_PERFORMANCE!H310)</f>
        <v/>
      </c>
      <c r="G108" s="47">
        <f>AVERAGE(RAW_PERFORMANCE!I308,RAW_PERFORMANCE!I309,RAW_PERFORMANCE!I310)</f>
        <v/>
      </c>
      <c r="H108" s="48" t="n">
        <v>1</v>
      </c>
      <c r="I108" s="49">
        <f>COUNT(RAW_PERFORMANCE!F308,RAW_PERFORMANCE!F309,RAW_PERFORMANCE!F310)</f>
        <v/>
      </c>
      <c r="J108" s="35">
        <f>AVERAGE(RAW_PERFORMANCE!K308,RAW_PERFORMANCE!K309,RAW_PERFORMANCE!K310)</f>
        <v/>
      </c>
      <c r="K108" s="35">
        <f>AVERAGE(RAW_PERFORMANCE!L308,RAW_PERFORMANCE!L309,RAW_PERFORMANCE!L310)</f>
        <v/>
      </c>
      <c r="L108" s="35">
        <f>AVERAGE(RAW_PERFORMANCE!M308,RAW_PERFORMANCE!M309,RAW_PERFORMANCE!M310)</f>
        <v/>
      </c>
      <c r="M108" s="35">
        <f>AVERAGE(RAW_PERFORMANCE!J308,RAW_PERFORMANCE!J309,RAW_PERFORMANCE!J310)</f>
        <v/>
      </c>
      <c r="N108" s="35">
        <f>AVERAGE(RAW_PERFORMANCE!P308,RAW_PERFORMANCE!P309,RAW_PERFORMANCE!P310)</f>
        <v/>
      </c>
      <c r="O108" s="31" t="inlineStr">
        <is>
          <t>COMPLETED DEVELOPMENT</t>
        </is>
      </c>
      <c r="P108" s="31" t="n"/>
    </row>
    <row r="109" ht="24" customHeight="1">
      <c r="A109" s="31" t="inlineStr">
        <is>
          <t>D017__TECO15</t>
        </is>
      </c>
      <c r="B109" s="31" t="inlineStr">
        <is>
          <t>D017</t>
        </is>
      </c>
      <c r="C109" s="31" t="inlineStr">
        <is>
          <t>TECO15</t>
        </is>
      </c>
      <c r="D109" s="47">
        <f>AVERAGE(RAW_PERFORMANCE!F311,RAW_PERFORMANCE!F312,RAW_PERFORMANCE!F313)</f>
        <v/>
      </c>
      <c r="E109" s="47">
        <f>AVERAGE(RAW_PERFORMANCE!G311,RAW_PERFORMANCE!G312,RAW_PERFORMANCE!G313)</f>
        <v/>
      </c>
      <c r="F109" s="47">
        <f>AVERAGE(RAW_PERFORMANCE!H311,RAW_PERFORMANCE!H312,RAW_PERFORMANCE!H313)</f>
        <v/>
      </c>
      <c r="G109" s="47">
        <f>AVERAGE(RAW_PERFORMANCE!I311,RAW_PERFORMANCE!I312,RAW_PERFORMANCE!I313)</f>
        <v/>
      </c>
      <c r="H109" s="48" t="n">
        <v>0</v>
      </c>
      <c r="I109" s="49">
        <f>COUNT(RAW_PERFORMANCE!F311,RAW_PERFORMANCE!F312,RAW_PERFORMANCE!F313)</f>
        <v/>
      </c>
      <c r="J109" s="35">
        <f>AVERAGE(RAW_PERFORMANCE!K311,RAW_PERFORMANCE!K312,RAW_PERFORMANCE!K313)</f>
        <v/>
      </c>
      <c r="K109" s="35">
        <f>AVERAGE(RAW_PERFORMANCE!L311,RAW_PERFORMANCE!L312,RAW_PERFORMANCE!L313)</f>
        <v/>
      </c>
      <c r="L109" s="35">
        <f>AVERAGE(RAW_PERFORMANCE!M311,RAW_PERFORMANCE!M312,RAW_PERFORMANCE!M313)</f>
        <v/>
      </c>
      <c r="M109" s="35">
        <f>AVERAGE(RAW_PERFORMANCE!J311,RAW_PERFORMANCE!J312,RAW_PERFORMANCE!J313)</f>
        <v/>
      </c>
      <c r="N109" s="35">
        <f>AVERAGE(RAW_PERFORMANCE!P311,RAW_PERFORMANCE!P312,RAW_PERFORMANCE!P313)</f>
        <v/>
      </c>
      <c r="O109" s="31" t="inlineStr">
        <is>
          <t>COMPLETED DEVELOPMENT</t>
        </is>
      </c>
      <c r="P109" s="31" t="n"/>
    </row>
    <row r="110" ht="24" customHeight="1">
      <c r="A110" s="31" t="inlineStr">
        <is>
          <t>D018__SP</t>
        </is>
      </c>
      <c r="B110" s="31" t="inlineStr">
        <is>
          <t>D018</t>
        </is>
      </c>
      <c r="C110" s="31" t="inlineStr">
        <is>
          <t>SP</t>
        </is>
      </c>
      <c r="D110" s="47">
        <f>AVERAGE(RAW_PERFORMANCE!F314,RAW_PERFORMANCE!F315,RAW_PERFORMANCE!F316)</f>
        <v/>
      </c>
      <c r="E110" s="47">
        <f>AVERAGE(RAW_PERFORMANCE!G314,RAW_PERFORMANCE!G315,RAW_PERFORMANCE!G316)</f>
        <v/>
      </c>
      <c r="F110" s="47">
        <f>AVERAGE(RAW_PERFORMANCE!H314,RAW_PERFORMANCE!H315,RAW_PERFORMANCE!H316)</f>
        <v/>
      </c>
      <c r="G110" s="47">
        <f>AVERAGE(RAW_PERFORMANCE!I314,RAW_PERFORMANCE!I315,RAW_PERFORMANCE!I316)</f>
        <v/>
      </c>
      <c r="H110" s="48" t="n">
        <v>1</v>
      </c>
      <c r="I110" s="49">
        <f>COUNT(RAW_PERFORMANCE!F314,RAW_PERFORMANCE!F315,RAW_PERFORMANCE!F316)</f>
        <v/>
      </c>
      <c r="J110" s="35">
        <f>AVERAGE(RAW_PERFORMANCE!K314,RAW_PERFORMANCE!K315,RAW_PERFORMANCE!K316)</f>
        <v/>
      </c>
      <c r="K110" s="35">
        <f>AVERAGE(RAW_PERFORMANCE!L314,RAW_PERFORMANCE!L315,RAW_PERFORMANCE!L316)</f>
        <v/>
      </c>
      <c r="L110" s="35">
        <f>AVERAGE(RAW_PERFORMANCE!M314,RAW_PERFORMANCE!M315,RAW_PERFORMANCE!M316)</f>
        <v/>
      </c>
      <c r="M110" s="35">
        <f>AVERAGE(RAW_PERFORMANCE!J314,RAW_PERFORMANCE!J315,RAW_PERFORMANCE!J316)</f>
        <v/>
      </c>
      <c r="N110" s="35">
        <f>AVERAGE(RAW_PERFORMANCE!P314,RAW_PERFORMANCE!P315,RAW_PERFORMANCE!P316)</f>
        <v/>
      </c>
      <c r="O110" s="31" t="inlineStr">
        <is>
          <t>COMPLETED DEVELOPMENT</t>
        </is>
      </c>
      <c r="P110" s="31" t="n"/>
    </row>
    <row r="111" ht="24" customHeight="1">
      <c r="A111" s="31" t="inlineStr">
        <is>
          <t>D018__DTT</t>
        </is>
      </c>
      <c r="B111" s="31" t="inlineStr">
        <is>
          <t>D018</t>
        </is>
      </c>
      <c r="C111" s="31" t="inlineStr">
        <is>
          <t>DTT</t>
        </is>
      </c>
      <c r="D111" s="47">
        <f>AVERAGE(RAW_PERFORMANCE!F317,RAW_PERFORMANCE!F318,RAW_PERFORMANCE!F319)</f>
        <v/>
      </c>
      <c r="E111" s="47">
        <f>AVERAGE(RAW_PERFORMANCE!G317,RAW_PERFORMANCE!G318,RAW_PERFORMANCE!G319)</f>
        <v/>
      </c>
      <c r="F111" s="47">
        <f>AVERAGE(RAW_PERFORMANCE!H317,RAW_PERFORMANCE!H318,RAW_PERFORMANCE!H319)</f>
        <v/>
      </c>
      <c r="G111" s="47">
        <f>AVERAGE(RAW_PERFORMANCE!I317,RAW_PERFORMANCE!I318,RAW_PERFORMANCE!I319)</f>
        <v/>
      </c>
      <c r="H111" s="48" t="n">
        <v>1</v>
      </c>
      <c r="I111" s="49">
        <f>COUNT(RAW_PERFORMANCE!F317,RAW_PERFORMANCE!F318,RAW_PERFORMANCE!F319)</f>
        <v/>
      </c>
      <c r="J111" s="35">
        <f>AVERAGE(RAW_PERFORMANCE!K317,RAW_PERFORMANCE!K318,RAW_PERFORMANCE!K319)</f>
        <v/>
      </c>
      <c r="K111" s="35">
        <f>AVERAGE(RAW_PERFORMANCE!L317,RAW_PERFORMANCE!L318,RAW_PERFORMANCE!L319)</f>
        <v/>
      </c>
      <c r="L111" s="35">
        <f>AVERAGE(RAW_PERFORMANCE!M317,RAW_PERFORMANCE!M318,RAW_PERFORMANCE!M319)</f>
        <v/>
      </c>
      <c r="M111" s="35">
        <f>AVERAGE(RAW_PERFORMANCE!J317,RAW_PERFORMANCE!J318,RAW_PERFORMANCE!J319)</f>
        <v/>
      </c>
      <c r="N111" s="35">
        <f>AVERAGE(RAW_PERFORMANCE!P317,RAW_PERFORMANCE!P318,RAW_PERFORMANCE!P319)</f>
        <v/>
      </c>
      <c r="O111" s="31" t="inlineStr">
        <is>
          <t>COMPLETED DEVELOPMENT</t>
        </is>
      </c>
      <c r="P111" s="31" t="n"/>
    </row>
    <row r="112" ht="24" customHeight="1">
      <c r="A112" s="31" t="inlineStr">
        <is>
          <t>D018__ECO</t>
        </is>
      </c>
      <c r="B112" s="31" t="inlineStr">
        <is>
          <t>D018</t>
        </is>
      </c>
      <c r="C112" s="31" t="inlineStr">
        <is>
          <t>ECO</t>
        </is>
      </c>
      <c r="D112" s="47">
        <f>AVERAGE(RAW_PERFORMANCE!F320,RAW_PERFORMANCE!F321,RAW_PERFORMANCE!F322)</f>
        <v/>
      </c>
      <c r="E112" s="47">
        <f>AVERAGE(RAW_PERFORMANCE!G320,RAW_PERFORMANCE!G321,RAW_PERFORMANCE!G322)</f>
        <v/>
      </c>
      <c r="F112" s="47">
        <f>AVERAGE(RAW_PERFORMANCE!H320,RAW_PERFORMANCE!H321,RAW_PERFORMANCE!H322)</f>
        <v/>
      </c>
      <c r="G112" s="47">
        <f>AVERAGE(RAW_PERFORMANCE!I320,RAW_PERFORMANCE!I321,RAW_PERFORMANCE!I322)</f>
        <v/>
      </c>
      <c r="H112" s="48" t="n">
        <v>1</v>
      </c>
      <c r="I112" s="49">
        <f>COUNT(RAW_PERFORMANCE!F320,RAW_PERFORMANCE!F321,RAW_PERFORMANCE!F322)</f>
        <v/>
      </c>
      <c r="J112" s="35">
        <f>AVERAGE(RAW_PERFORMANCE!K320,RAW_PERFORMANCE!K321,RAW_PERFORMANCE!K322)</f>
        <v/>
      </c>
      <c r="K112" s="35">
        <f>AVERAGE(RAW_PERFORMANCE!L320,RAW_PERFORMANCE!L321,RAW_PERFORMANCE!L322)</f>
        <v/>
      </c>
      <c r="L112" s="35">
        <f>AVERAGE(RAW_PERFORMANCE!M320,RAW_PERFORMANCE!M321,RAW_PERFORMANCE!M322)</f>
        <v/>
      </c>
      <c r="M112" s="35">
        <f>AVERAGE(RAW_PERFORMANCE!J320,RAW_PERFORMANCE!J321,RAW_PERFORMANCE!J322)</f>
        <v/>
      </c>
      <c r="N112" s="35">
        <f>AVERAGE(RAW_PERFORMANCE!P320,RAW_PERFORMANCE!P321,RAW_PERFORMANCE!P322)</f>
        <v/>
      </c>
      <c r="O112" s="31" t="inlineStr">
        <is>
          <t>COMPLETED DEVELOPMENT</t>
        </is>
      </c>
      <c r="P112" s="31" t="n"/>
    </row>
    <row r="113" ht="24" customHeight="1">
      <c r="A113" s="31" t="inlineStr">
        <is>
          <t>D018__TECO05</t>
        </is>
      </c>
      <c r="B113" s="31" t="inlineStr">
        <is>
          <t>D018</t>
        </is>
      </c>
      <c r="C113" s="31" t="inlineStr">
        <is>
          <t>TECO05</t>
        </is>
      </c>
      <c r="D113" s="47">
        <f>AVERAGE(RAW_PERFORMANCE!F323,RAW_PERFORMANCE!F324,RAW_PERFORMANCE!F325)</f>
        <v/>
      </c>
      <c r="E113" s="47">
        <f>AVERAGE(RAW_PERFORMANCE!G323,RAW_PERFORMANCE!G324,RAW_PERFORMANCE!G325)</f>
        <v/>
      </c>
      <c r="F113" s="47">
        <f>AVERAGE(RAW_PERFORMANCE!H323,RAW_PERFORMANCE!H324,RAW_PERFORMANCE!H325)</f>
        <v/>
      </c>
      <c r="G113" s="47">
        <f>AVERAGE(RAW_PERFORMANCE!I323,RAW_PERFORMANCE!I324,RAW_PERFORMANCE!I325)</f>
        <v/>
      </c>
      <c r="H113" s="48" t="n">
        <v>0</v>
      </c>
      <c r="I113" s="49">
        <f>COUNT(RAW_PERFORMANCE!F323,RAW_PERFORMANCE!F324,RAW_PERFORMANCE!F325)</f>
        <v/>
      </c>
      <c r="J113" s="35">
        <f>AVERAGE(RAW_PERFORMANCE!K323,RAW_PERFORMANCE!K324,RAW_PERFORMANCE!K325)</f>
        <v/>
      </c>
      <c r="K113" s="35">
        <f>AVERAGE(RAW_PERFORMANCE!L323,RAW_PERFORMANCE!L324,RAW_PERFORMANCE!L325)</f>
        <v/>
      </c>
      <c r="L113" s="35">
        <f>AVERAGE(RAW_PERFORMANCE!M323,RAW_PERFORMANCE!M324,RAW_PERFORMANCE!M325)</f>
        <v/>
      </c>
      <c r="M113" s="35">
        <f>AVERAGE(RAW_PERFORMANCE!J323,RAW_PERFORMANCE!J324,RAW_PERFORMANCE!J325)</f>
        <v/>
      </c>
      <c r="N113" s="35">
        <f>AVERAGE(RAW_PERFORMANCE!P323,RAW_PERFORMANCE!P324,RAW_PERFORMANCE!P325)</f>
        <v/>
      </c>
      <c r="O113" s="31" t="inlineStr">
        <is>
          <t>COMPLETED DEVELOPMENT</t>
        </is>
      </c>
      <c r="P113" s="31" t="n"/>
    </row>
    <row r="114" ht="24" customHeight="1">
      <c r="A114" s="31" t="inlineStr">
        <is>
          <t>D018__TECO10</t>
        </is>
      </c>
      <c r="B114" s="31" t="inlineStr">
        <is>
          <t>D018</t>
        </is>
      </c>
      <c r="C114" s="31" t="inlineStr">
        <is>
          <t>TECO10</t>
        </is>
      </c>
      <c r="D114" s="47">
        <f>AVERAGE(RAW_PERFORMANCE!F326,RAW_PERFORMANCE!F327,RAW_PERFORMANCE!F328)</f>
        <v/>
      </c>
      <c r="E114" s="47">
        <f>AVERAGE(RAW_PERFORMANCE!G326,RAW_PERFORMANCE!G327,RAW_PERFORMANCE!G328)</f>
        <v/>
      </c>
      <c r="F114" s="47">
        <f>AVERAGE(RAW_PERFORMANCE!H326,RAW_PERFORMANCE!H327,RAW_PERFORMANCE!H328)</f>
        <v/>
      </c>
      <c r="G114" s="47">
        <f>AVERAGE(RAW_PERFORMANCE!I326,RAW_PERFORMANCE!I327,RAW_PERFORMANCE!I328)</f>
        <v/>
      </c>
      <c r="H114" s="48" t="n">
        <v>1</v>
      </c>
      <c r="I114" s="49">
        <f>COUNT(RAW_PERFORMANCE!F326,RAW_PERFORMANCE!F327,RAW_PERFORMANCE!F328)</f>
        <v/>
      </c>
      <c r="J114" s="35">
        <f>AVERAGE(RAW_PERFORMANCE!K326,RAW_PERFORMANCE!K327,RAW_PERFORMANCE!K328)</f>
        <v/>
      </c>
      <c r="K114" s="35">
        <f>AVERAGE(RAW_PERFORMANCE!L326,RAW_PERFORMANCE!L327,RAW_PERFORMANCE!L328)</f>
        <v/>
      </c>
      <c r="L114" s="35">
        <f>AVERAGE(RAW_PERFORMANCE!M326,RAW_PERFORMANCE!M327,RAW_PERFORMANCE!M328)</f>
        <v/>
      </c>
      <c r="M114" s="35">
        <f>AVERAGE(RAW_PERFORMANCE!J326,RAW_PERFORMANCE!J327,RAW_PERFORMANCE!J328)</f>
        <v/>
      </c>
      <c r="N114" s="35">
        <f>AVERAGE(RAW_PERFORMANCE!P326,RAW_PERFORMANCE!P327,RAW_PERFORMANCE!P328)</f>
        <v/>
      </c>
      <c r="O114" s="31" t="inlineStr">
        <is>
          <t>COMPLETED DEVELOPMENT</t>
        </is>
      </c>
      <c r="P114" s="31" t="n"/>
    </row>
    <row r="115" ht="24" customHeight="1">
      <c r="A115" s="31" t="inlineStr">
        <is>
          <t>D018__TECO15</t>
        </is>
      </c>
      <c r="B115" s="31" t="inlineStr">
        <is>
          <t>D018</t>
        </is>
      </c>
      <c r="C115" s="31" t="inlineStr">
        <is>
          <t>TECO15</t>
        </is>
      </c>
      <c r="D115" s="47">
        <f>AVERAGE(RAW_PERFORMANCE!F329,RAW_PERFORMANCE!F330,RAW_PERFORMANCE!F331)</f>
        <v/>
      </c>
      <c r="E115" s="47">
        <f>AVERAGE(RAW_PERFORMANCE!G329,RAW_PERFORMANCE!G330,RAW_PERFORMANCE!G331)</f>
        <v/>
      </c>
      <c r="F115" s="47">
        <f>AVERAGE(RAW_PERFORMANCE!H329,RAW_PERFORMANCE!H330,RAW_PERFORMANCE!H331)</f>
        <v/>
      </c>
      <c r="G115" s="47">
        <f>AVERAGE(RAW_PERFORMANCE!I329,RAW_PERFORMANCE!I330,RAW_PERFORMANCE!I331)</f>
        <v/>
      </c>
      <c r="H115" s="48" t="n">
        <v>0</v>
      </c>
      <c r="I115" s="49">
        <f>COUNT(RAW_PERFORMANCE!F329,RAW_PERFORMANCE!F330,RAW_PERFORMANCE!F331)</f>
        <v/>
      </c>
      <c r="J115" s="35">
        <f>AVERAGE(RAW_PERFORMANCE!K329,RAW_PERFORMANCE!K330,RAW_PERFORMANCE!K331)</f>
        <v/>
      </c>
      <c r="K115" s="35">
        <f>AVERAGE(RAW_PERFORMANCE!L329,RAW_PERFORMANCE!L330,RAW_PERFORMANCE!L331)</f>
        <v/>
      </c>
      <c r="L115" s="35">
        <f>AVERAGE(RAW_PERFORMANCE!M329,RAW_PERFORMANCE!M330,RAW_PERFORMANCE!M331)</f>
        <v/>
      </c>
      <c r="M115" s="35">
        <f>AVERAGE(RAW_PERFORMANCE!J329,RAW_PERFORMANCE!J330,RAW_PERFORMANCE!J331)</f>
        <v/>
      </c>
      <c r="N115" s="35">
        <f>AVERAGE(RAW_PERFORMANCE!P329,RAW_PERFORMANCE!P330,RAW_PERFORMANCE!P331)</f>
        <v/>
      </c>
      <c r="O115" s="31" t="inlineStr">
        <is>
          <t>COMPLETED DEVELOPMENT</t>
        </is>
      </c>
      <c r="P115" s="31" t="n"/>
    </row>
    <row r="116" ht="24" customHeight="1">
      <c r="A116" s="31" t="inlineStr">
        <is>
          <t>D019__SP</t>
        </is>
      </c>
      <c r="B116" s="31" t="inlineStr">
        <is>
          <t>D019</t>
        </is>
      </c>
      <c r="C116" s="31" t="inlineStr">
        <is>
          <t>SP</t>
        </is>
      </c>
      <c r="D116" s="47">
        <f>AVERAGE(RAW_PERFORMANCE!F332,RAW_PERFORMANCE!F333,RAW_PERFORMANCE!F334)</f>
        <v/>
      </c>
      <c r="E116" s="47">
        <f>AVERAGE(RAW_PERFORMANCE!G332,RAW_PERFORMANCE!G333,RAW_PERFORMANCE!G334)</f>
        <v/>
      </c>
      <c r="F116" s="47">
        <f>AVERAGE(RAW_PERFORMANCE!H332,RAW_PERFORMANCE!H333,RAW_PERFORMANCE!H334)</f>
        <v/>
      </c>
      <c r="G116" s="47">
        <f>AVERAGE(RAW_PERFORMANCE!I332,RAW_PERFORMANCE!I333,RAW_PERFORMANCE!I334)</f>
        <v/>
      </c>
      <c r="H116" s="48" t="n">
        <v>1</v>
      </c>
      <c r="I116" s="49">
        <f>COUNT(RAW_PERFORMANCE!F332,RAW_PERFORMANCE!F333,RAW_PERFORMANCE!F334)</f>
        <v/>
      </c>
      <c r="J116" s="35">
        <f>AVERAGE(RAW_PERFORMANCE!K332,RAW_PERFORMANCE!K333,RAW_PERFORMANCE!K334)</f>
        <v/>
      </c>
      <c r="K116" s="35">
        <f>AVERAGE(RAW_PERFORMANCE!L332,RAW_PERFORMANCE!L333,RAW_PERFORMANCE!L334)</f>
        <v/>
      </c>
      <c r="L116" s="35">
        <f>AVERAGE(RAW_PERFORMANCE!M332,RAW_PERFORMANCE!M333,RAW_PERFORMANCE!M334)</f>
        <v/>
      </c>
      <c r="M116" s="35">
        <f>AVERAGE(RAW_PERFORMANCE!J332,RAW_PERFORMANCE!J333,RAW_PERFORMANCE!J334)</f>
        <v/>
      </c>
      <c r="N116" s="35">
        <f>AVERAGE(RAW_PERFORMANCE!P332,RAW_PERFORMANCE!P333,RAW_PERFORMANCE!P334)</f>
        <v/>
      </c>
      <c r="O116" s="31" t="inlineStr">
        <is>
          <t>COMPLETED DEVELOPMENT</t>
        </is>
      </c>
      <c r="P116" s="31" t="n"/>
    </row>
    <row r="117" ht="24" customHeight="1">
      <c r="A117" s="31" t="inlineStr">
        <is>
          <t>D019__DTT</t>
        </is>
      </c>
      <c r="B117" s="31" t="inlineStr">
        <is>
          <t>D019</t>
        </is>
      </c>
      <c r="C117" s="31" t="inlineStr">
        <is>
          <t>DTT</t>
        </is>
      </c>
      <c r="D117" s="47">
        <f>AVERAGE(RAW_PERFORMANCE!F335,RAW_PERFORMANCE!F336,RAW_PERFORMANCE!F337)</f>
        <v/>
      </c>
      <c r="E117" s="47">
        <f>AVERAGE(RAW_PERFORMANCE!G335,RAW_PERFORMANCE!G336,RAW_PERFORMANCE!G337)</f>
        <v/>
      </c>
      <c r="F117" s="47">
        <f>AVERAGE(RAW_PERFORMANCE!H335,RAW_PERFORMANCE!H336,RAW_PERFORMANCE!H337)</f>
        <v/>
      </c>
      <c r="G117" s="47">
        <f>AVERAGE(RAW_PERFORMANCE!I335,RAW_PERFORMANCE!I336,RAW_PERFORMANCE!I337)</f>
        <v/>
      </c>
      <c r="H117" s="48" t="n">
        <v>1</v>
      </c>
      <c r="I117" s="49">
        <f>COUNT(RAW_PERFORMANCE!F335,RAW_PERFORMANCE!F336,RAW_PERFORMANCE!F337)</f>
        <v/>
      </c>
      <c r="J117" s="35">
        <f>AVERAGE(RAW_PERFORMANCE!K335,RAW_PERFORMANCE!K336,RAW_PERFORMANCE!K337)</f>
        <v/>
      </c>
      <c r="K117" s="35">
        <f>AVERAGE(RAW_PERFORMANCE!L335,RAW_PERFORMANCE!L336,RAW_PERFORMANCE!L337)</f>
        <v/>
      </c>
      <c r="L117" s="35">
        <f>AVERAGE(RAW_PERFORMANCE!M335,RAW_PERFORMANCE!M336,RAW_PERFORMANCE!M337)</f>
        <v/>
      </c>
      <c r="M117" s="35">
        <f>AVERAGE(RAW_PERFORMANCE!J335,RAW_PERFORMANCE!J336,RAW_PERFORMANCE!J337)</f>
        <v/>
      </c>
      <c r="N117" s="35">
        <f>AVERAGE(RAW_PERFORMANCE!P335,RAW_PERFORMANCE!P336,RAW_PERFORMANCE!P337)</f>
        <v/>
      </c>
      <c r="O117" s="31" t="inlineStr">
        <is>
          <t>COMPLETED DEVELOPMENT</t>
        </is>
      </c>
      <c r="P117" s="31" t="n"/>
    </row>
    <row r="118" ht="24" customHeight="1">
      <c r="A118" s="31" t="inlineStr">
        <is>
          <t>D019__ECO</t>
        </is>
      </c>
      <c r="B118" s="31" t="inlineStr">
        <is>
          <t>D019</t>
        </is>
      </c>
      <c r="C118" s="31" t="inlineStr">
        <is>
          <t>ECO</t>
        </is>
      </c>
      <c r="D118" s="47">
        <f>AVERAGE(RAW_PERFORMANCE!F338,RAW_PERFORMANCE!F339,RAW_PERFORMANCE!F340)</f>
        <v/>
      </c>
      <c r="E118" s="47">
        <f>AVERAGE(RAW_PERFORMANCE!G338,RAW_PERFORMANCE!G339,RAW_PERFORMANCE!G340)</f>
        <v/>
      </c>
      <c r="F118" s="47">
        <f>AVERAGE(RAW_PERFORMANCE!H338,RAW_PERFORMANCE!H339,RAW_PERFORMANCE!H340)</f>
        <v/>
      </c>
      <c r="G118" s="47">
        <f>AVERAGE(RAW_PERFORMANCE!I338,RAW_PERFORMANCE!I339,RAW_PERFORMANCE!I340)</f>
        <v/>
      </c>
      <c r="H118" s="48" t="n">
        <v>1</v>
      </c>
      <c r="I118" s="49">
        <f>COUNT(RAW_PERFORMANCE!F338,RAW_PERFORMANCE!F339,RAW_PERFORMANCE!F340)</f>
        <v/>
      </c>
      <c r="J118" s="35">
        <f>AVERAGE(RAW_PERFORMANCE!K338,RAW_PERFORMANCE!K339,RAW_PERFORMANCE!K340)</f>
        <v/>
      </c>
      <c r="K118" s="35">
        <f>AVERAGE(RAW_PERFORMANCE!L338,RAW_PERFORMANCE!L339,RAW_PERFORMANCE!L340)</f>
        <v/>
      </c>
      <c r="L118" s="35">
        <f>AVERAGE(RAW_PERFORMANCE!M338,RAW_PERFORMANCE!M339,RAW_PERFORMANCE!M340)</f>
        <v/>
      </c>
      <c r="M118" s="35">
        <f>AVERAGE(RAW_PERFORMANCE!J338,RAW_PERFORMANCE!J339,RAW_PERFORMANCE!J340)</f>
        <v/>
      </c>
      <c r="N118" s="35">
        <f>AVERAGE(RAW_PERFORMANCE!P338,RAW_PERFORMANCE!P339,RAW_PERFORMANCE!P340)</f>
        <v/>
      </c>
      <c r="O118" s="31" t="inlineStr">
        <is>
          <t>COMPLETED DEVELOPMENT</t>
        </is>
      </c>
      <c r="P118" s="31" t="n"/>
    </row>
    <row r="119" ht="24" customHeight="1">
      <c r="A119" s="31" t="inlineStr">
        <is>
          <t>D019__TECO05</t>
        </is>
      </c>
      <c r="B119" s="31" t="inlineStr">
        <is>
          <t>D019</t>
        </is>
      </c>
      <c r="C119" s="31" t="inlineStr">
        <is>
          <t>TECO05</t>
        </is>
      </c>
      <c r="D119" s="47">
        <f>AVERAGE(RAW_PERFORMANCE!F341,RAW_PERFORMANCE!F342,RAW_PERFORMANCE!F343)</f>
        <v/>
      </c>
      <c r="E119" s="47">
        <f>AVERAGE(RAW_PERFORMANCE!G341,RAW_PERFORMANCE!G342,RAW_PERFORMANCE!G343)</f>
        <v/>
      </c>
      <c r="F119" s="47">
        <f>AVERAGE(RAW_PERFORMANCE!H341,RAW_PERFORMANCE!H342,RAW_PERFORMANCE!H343)</f>
        <v/>
      </c>
      <c r="G119" s="47">
        <f>AVERAGE(RAW_PERFORMANCE!I341,RAW_PERFORMANCE!I342,RAW_PERFORMANCE!I343)</f>
        <v/>
      </c>
      <c r="H119" s="48" t="n">
        <v>0</v>
      </c>
      <c r="I119" s="49">
        <f>COUNT(RAW_PERFORMANCE!F341,RAW_PERFORMANCE!F342,RAW_PERFORMANCE!F343)</f>
        <v/>
      </c>
      <c r="J119" s="35">
        <f>AVERAGE(RAW_PERFORMANCE!K341,RAW_PERFORMANCE!K342,RAW_PERFORMANCE!K343)</f>
        <v/>
      </c>
      <c r="K119" s="35">
        <f>AVERAGE(RAW_PERFORMANCE!L341,RAW_PERFORMANCE!L342,RAW_PERFORMANCE!L343)</f>
        <v/>
      </c>
      <c r="L119" s="35">
        <f>AVERAGE(RAW_PERFORMANCE!M341,RAW_PERFORMANCE!M342,RAW_PERFORMANCE!M343)</f>
        <v/>
      </c>
      <c r="M119" s="35">
        <f>AVERAGE(RAW_PERFORMANCE!J341,RAW_PERFORMANCE!J342,RAW_PERFORMANCE!J343)</f>
        <v/>
      </c>
      <c r="N119" s="35">
        <f>AVERAGE(RAW_PERFORMANCE!P341,RAW_PERFORMANCE!P342,RAW_PERFORMANCE!P343)</f>
        <v/>
      </c>
      <c r="O119" s="31" t="inlineStr">
        <is>
          <t>COMPLETED DEVELOPMENT</t>
        </is>
      </c>
      <c r="P119" s="31" t="n"/>
    </row>
    <row r="120" ht="24" customHeight="1">
      <c r="A120" s="31" t="inlineStr">
        <is>
          <t>D019__TECO10</t>
        </is>
      </c>
      <c r="B120" s="31" t="inlineStr">
        <is>
          <t>D019</t>
        </is>
      </c>
      <c r="C120" s="31" t="inlineStr">
        <is>
          <t>TECO10</t>
        </is>
      </c>
      <c r="D120" s="47">
        <f>AVERAGE(RAW_PERFORMANCE!F344,RAW_PERFORMANCE!F345,RAW_PERFORMANCE!F346)</f>
        <v/>
      </c>
      <c r="E120" s="47">
        <f>AVERAGE(RAW_PERFORMANCE!G344,RAW_PERFORMANCE!G345,RAW_PERFORMANCE!G346)</f>
        <v/>
      </c>
      <c r="F120" s="47">
        <f>AVERAGE(RAW_PERFORMANCE!H344,RAW_PERFORMANCE!H345,RAW_PERFORMANCE!H346)</f>
        <v/>
      </c>
      <c r="G120" s="47">
        <f>AVERAGE(RAW_PERFORMANCE!I344,RAW_PERFORMANCE!I345,RAW_PERFORMANCE!I346)</f>
        <v/>
      </c>
      <c r="H120" s="48" t="n">
        <v>1</v>
      </c>
      <c r="I120" s="49">
        <f>COUNT(RAW_PERFORMANCE!F344,RAW_PERFORMANCE!F345,RAW_PERFORMANCE!F346)</f>
        <v/>
      </c>
      <c r="J120" s="35">
        <f>AVERAGE(RAW_PERFORMANCE!K344,RAW_PERFORMANCE!K345,RAW_PERFORMANCE!K346)</f>
        <v/>
      </c>
      <c r="K120" s="35">
        <f>AVERAGE(RAW_PERFORMANCE!L344,RAW_PERFORMANCE!L345,RAW_PERFORMANCE!L346)</f>
        <v/>
      </c>
      <c r="L120" s="35">
        <f>AVERAGE(RAW_PERFORMANCE!M344,RAW_PERFORMANCE!M345,RAW_PERFORMANCE!M346)</f>
        <v/>
      </c>
      <c r="M120" s="35">
        <f>AVERAGE(RAW_PERFORMANCE!J344,RAW_PERFORMANCE!J345,RAW_PERFORMANCE!J346)</f>
        <v/>
      </c>
      <c r="N120" s="35">
        <f>AVERAGE(RAW_PERFORMANCE!P344,RAW_PERFORMANCE!P345,RAW_PERFORMANCE!P346)</f>
        <v/>
      </c>
      <c r="O120" s="31" t="inlineStr">
        <is>
          <t>COMPLETED DEVELOPMENT</t>
        </is>
      </c>
      <c r="P120" s="31" t="n"/>
    </row>
    <row r="121" ht="24" customHeight="1">
      <c r="A121" s="31" t="inlineStr">
        <is>
          <t>D019__TECO15</t>
        </is>
      </c>
      <c r="B121" s="31" t="inlineStr">
        <is>
          <t>D019</t>
        </is>
      </c>
      <c r="C121" s="31" t="inlineStr">
        <is>
          <t>TECO15</t>
        </is>
      </c>
      <c r="D121" s="47">
        <f>AVERAGE(RAW_PERFORMANCE!F347,RAW_PERFORMANCE!F348,RAW_PERFORMANCE!F349)</f>
        <v/>
      </c>
      <c r="E121" s="47">
        <f>AVERAGE(RAW_PERFORMANCE!G347,RAW_PERFORMANCE!G348,RAW_PERFORMANCE!G349)</f>
        <v/>
      </c>
      <c r="F121" s="47">
        <f>AVERAGE(RAW_PERFORMANCE!H347,RAW_PERFORMANCE!H348,RAW_PERFORMANCE!H349)</f>
        <v/>
      </c>
      <c r="G121" s="47">
        <f>AVERAGE(RAW_PERFORMANCE!I347,RAW_PERFORMANCE!I348,RAW_PERFORMANCE!I349)</f>
        <v/>
      </c>
      <c r="H121" s="48" t="n">
        <v>0</v>
      </c>
      <c r="I121" s="49">
        <f>COUNT(RAW_PERFORMANCE!F347,RAW_PERFORMANCE!F348,RAW_PERFORMANCE!F349)</f>
        <v/>
      </c>
      <c r="J121" s="35">
        <f>AVERAGE(RAW_PERFORMANCE!K347,RAW_PERFORMANCE!K348,RAW_PERFORMANCE!K349)</f>
        <v/>
      </c>
      <c r="K121" s="35">
        <f>AVERAGE(RAW_PERFORMANCE!L347,RAW_PERFORMANCE!L348,RAW_PERFORMANCE!L349)</f>
        <v/>
      </c>
      <c r="L121" s="35">
        <f>AVERAGE(RAW_PERFORMANCE!M347,RAW_PERFORMANCE!M348,RAW_PERFORMANCE!M349)</f>
        <v/>
      </c>
      <c r="M121" s="35">
        <f>AVERAGE(RAW_PERFORMANCE!J347,RAW_PERFORMANCE!J348,RAW_PERFORMANCE!J349)</f>
        <v/>
      </c>
      <c r="N121" s="35">
        <f>AVERAGE(RAW_PERFORMANCE!P347,RAW_PERFORMANCE!P348,RAW_PERFORMANCE!P349)</f>
        <v/>
      </c>
      <c r="O121" s="31" t="inlineStr">
        <is>
          <t>COMPLETED DEVELOPMENT</t>
        </is>
      </c>
      <c r="P121" s="31" t="n"/>
    </row>
    <row r="122" ht="24" customHeight="1">
      <c r="A122" s="31" t="inlineStr">
        <is>
          <t>D020__SP</t>
        </is>
      </c>
      <c r="B122" s="31" t="inlineStr">
        <is>
          <t>D020</t>
        </is>
      </c>
      <c r="C122" s="31" t="inlineStr">
        <is>
          <t>SP</t>
        </is>
      </c>
      <c r="D122" s="47">
        <f>AVERAGE(RAW_PERFORMANCE!F350,RAW_PERFORMANCE!F351,RAW_PERFORMANCE!F352)</f>
        <v/>
      </c>
      <c r="E122" s="47">
        <f>AVERAGE(RAW_PERFORMANCE!G350,RAW_PERFORMANCE!G351,RAW_PERFORMANCE!G352)</f>
        <v/>
      </c>
      <c r="F122" s="47">
        <f>AVERAGE(RAW_PERFORMANCE!H350,RAW_PERFORMANCE!H351,RAW_PERFORMANCE!H352)</f>
        <v/>
      </c>
      <c r="G122" s="47">
        <f>AVERAGE(RAW_PERFORMANCE!I350,RAW_PERFORMANCE!I351,RAW_PERFORMANCE!I352)</f>
        <v/>
      </c>
      <c r="H122" s="48" t="n">
        <v>1</v>
      </c>
      <c r="I122" s="49">
        <f>COUNT(RAW_PERFORMANCE!F350,RAW_PERFORMANCE!F351,RAW_PERFORMANCE!F352)</f>
        <v/>
      </c>
      <c r="J122" s="35">
        <f>AVERAGE(RAW_PERFORMANCE!K350,RAW_PERFORMANCE!K351,RAW_PERFORMANCE!K352)</f>
        <v/>
      </c>
      <c r="K122" s="35">
        <f>AVERAGE(RAW_PERFORMANCE!L350,RAW_PERFORMANCE!L351,RAW_PERFORMANCE!L352)</f>
        <v/>
      </c>
      <c r="L122" s="35">
        <f>AVERAGE(RAW_PERFORMANCE!M350,RAW_PERFORMANCE!M351,RAW_PERFORMANCE!M352)</f>
        <v/>
      </c>
      <c r="M122" s="35">
        <f>AVERAGE(RAW_PERFORMANCE!J350,RAW_PERFORMANCE!J351,RAW_PERFORMANCE!J352)</f>
        <v/>
      </c>
      <c r="N122" s="35">
        <f>AVERAGE(RAW_PERFORMANCE!P350,RAW_PERFORMANCE!P351,RAW_PERFORMANCE!P352)</f>
        <v/>
      </c>
      <c r="O122" s="31" t="inlineStr">
        <is>
          <t>COMPLETED DEVELOPMENT</t>
        </is>
      </c>
      <c r="P122" s="31" t="n"/>
    </row>
    <row r="123" ht="24" customHeight="1">
      <c r="A123" s="31" t="inlineStr">
        <is>
          <t>D020__DTT</t>
        </is>
      </c>
      <c r="B123" s="31" t="inlineStr">
        <is>
          <t>D020</t>
        </is>
      </c>
      <c r="C123" s="31" t="inlineStr">
        <is>
          <t>DTT</t>
        </is>
      </c>
      <c r="D123" s="47">
        <f>AVERAGE(RAW_PERFORMANCE!F353,RAW_PERFORMANCE!F354,RAW_PERFORMANCE!F355)</f>
        <v/>
      </c>
      <c r="E123" s="47">
        <f>AVERAGE(RAW_PERFORMANCE!G353,RAW_PERFORMANCE!G354,RAW_PERFORMANCE!G355)</f>
        <v/>
      </c>
      <c r="F123" s="47">
        <f>AVERAGE(RAW_PERFORMANCE!H353,RAW_PERFORMANCE!H354,RAW_PERFORMANCE!H355)</f>
        <v/>
      </c>
      <c r="G123" s="47">
        <f>AVERAGE(RAW_PERFORMANCE!I353,RAW_PERFORMANCE!I354,RAW_PERFORMANCE!I355)</f>
        <v/>
      </c>
      <c r="H123" s="48" t="n">
        <v>1</v>
      </c>
      <c r="I123" s="49">
        <f>COUNT(RAW_PERFORMANCE!F353,RAW_PERFORMANCE!F354,RAW_PERFORMANCE!F355)</f>
        <v/>
      </c>
      <c r="J123" s="35">
        <f>AVERAGE(RAW_PERFORMANCE!K353,RAW_PERFORMANCE!K354,RAW_PERFORMANCE!K355)</f>
        <v/>
      </c>
      <c r="K123" s="35">
        <f>AVERAGE(RAW_PERFORMANCE!L353,RAW_PERFORMANCE!L354,RAW_PERFORMANCE!L355)</f>
        <v/>
      </c>
      <c r="L123" s="35">
        <f>AVERAGE(RAW_PERFORMANCE!M353,RAW_PERFORMANCE!M354,RAW_PERFORMANCE!M355)</f>
        <v/>
      </c>
      <c r="M123" s="35">
        <f>AVERAGE(RAW_PERFORMANCE!J353,RAW_PERFORMANCE!J354,RAW_PERFORMANCE!J355)</f>
        <v/>
      </c>
      <c r="N123" s="35">
        <f>AVERAGE(RAW_PERFORMANCE!P353,RAW_PERFORMANCE!P354,RAW_PERFORMANCE!P355)</f>
        <v/>
      </c>
      <c r="O123" s="31" t="inlineStr">
        <is>
          <t>COMPLETED DEVELOPMENT</t>
        </is>
      </c>
      <c r="P123" s="31" t="n"/>
    </row>
    <row r="124" ht="24" customHeight="1">
      <c r="A124" s="31" t="inlineStr">
        <is>
          <t>D020__ECO</t>
        </is>
      </c>
      <c r="B124" s="31" t="inlineStr">
        <is>
          <t>D020</t>
        </is>
      </c>
      <c r="C124" s="31" t="inlineStr">
        <is>
          <t>ECO</t>
        </is>
      </c>
      <c r="D124" s="47">
        <f>AVERAGE(RAW_PERFORMANCE!F356,RAW_PERFORMANCE!F357,RAW_PERFORMANCE!F358)</f>
        <v/>
      </c>
      <c r="E124" s="47">
        <f>AVERAGE(RAW_PERFORMANCE!G356,RAW_PERFORMANCE!G357,RAW_PERFORMANCE!G358)</f>
        <v/>
      </c>
      <c r="F124" s="47">
        <f>AVERAGE(RAW_PERFORMANCE!H356,RAW_PERFORMANCE!H357,RAW_PERFORMANCE!H358)</f>
        <v/>
      </c>
      <c r="G124" s="47">
        <f>AVERAGE(RAW_PERFORMANCE!I356,RAW_PERFORMANCE!I357,RAW_PERFORMANCE!I358)</f>
        <v/>
      </c>
      <c r="H124" s="48" t="n">
        <v>1</v>
      </c>
      <c r="I124" s="49">
        <f>COUNT(RAW_PERFORMANCE!F356,RAW_PERFORMANCE!F357,RAW_PERFORMANCE!F358)</f>
        <v/>
      </c>
      <c r="J124" s="35">
        <f>AVERAGE(RAW_PERFORMANCE!K356,RAW_PERFORMANCE!K357,RAW_PERFORMANCE!K358)</f>
        <v/>
      </c>
      <c r="K124" s="35">
        <f>AVERAGE(RAW_PERFORMANCE!L356,RAW_PERFORMANCE!L357,RAW_PERFORMANCE!L358)</f>
        <v/>
      </c>
      <c r="L124" s="35">
        <f>AVERAGE(RAW_PERFORMANCE!M356,RAW_PERFORMANCE!M357,RAW_PERFORMANCE!M358)</f>
        <v/>
      </c>
      <c r="M124" s="35">
        <f>AVERAGE(RAW_PERFORMANCE!J356,RAW_PERFORMANCE!J357,RAW_PERFORMANCE!J358)</f>
        <v/>
      </c>
      <c r="N124" s="35">
        <f>AVERAGE(RAW_PERFORMANCE!P356,RAW_PERFORMANCE!P357,RAW_PERFORMANCE!P358)</f>
        <v/>
      </c>
      <c r="O124" s="31" t="inlineStr">
        <is>
          <t>COMPLETED DEVELOPMENT</t>
        </is>
      </c>
      <c r="P124" s="31" t="n"/>
    </row>
    <row r="125" ht="24" customHeight="1">
      <c r="A125" s="31" t="inlineStr">
        <is>
          <t>D020__TECO05</t>
        </is>
      </c>
      <c r="B125" s="31" t="inlineStr">
        <is>
          <t>D020</t>
        </is>
      </c>
      <c r="C125" s="31" t="inlineStr">
        <is>
          <t>TECO05</t>
        </is>
      </c>
      <c r="D125" s="47">
        <f>AVERAGE(RAW_PERFORMANCE!F359,RAW_PERFORMANCE!F360,RAW_PERFORMANCE!F361)</f>
        <v/>
      </c>
      <c r="E125" s="47">
        <f>AVERAGE(RAW_PERFORMANCE!G359,RAW_PERFORMANCE!G360,RAW_PERFORMANCE!G361)</f>
        <v/>
      </c>
      <c r="F125" s="47">
        <f>AVERAGE(RAW_PERFORMANCE!H359,RAW_PERFORMANCE!H360,RAW_PERFORMANCE!H361)</f>
        <v/>
      </c>
      <c r="G125" s="47">
        <f>AVERAGE(RAW_PERFORMANCE!I359,RAW_PERFORMANCE!I360,RAW_PERFORMANCE!I361)</f>
        <v/>
      </c>
      <c r="H125" s="48" t="n">
        <v>0</v>
      </c>
      <c r="I125" s="49">
        <f>COUNT(RAW_PERFORMANCE!F359,RAW_PERFORMANCE!F360,RAW_PERFORMANCE!F361)</f>
        <v/>
      </c>
      <c r="J125" s="35">
        <f>AVERAGE(RAW_PERFORMANCE!K359,RAW_PERFORMANCE!K360,RAW_PERFORMANCE!K361)</f>
        <v/>
      </c>
      <c r="K125" s="35">
        <f>AVERAGE(RAW_PERFORMANCE!L359,RAW_PERFORMANCE!L360,RAW_PERFORMANCE!L361)</f>
        <v/>
      </c>
      <c r="L125" s="35">
        <f>AVERAGE(RAW_PERFORMANCE!M359,RAW_PERFORMANCE!M360,RAW_PERFORMANCE!M361)</f>
        <v/>
      </c>
      <c r="M125" s="35">
        <f>AVERAGE(RAW_PERFORMANCE!J359,RAW_PERFORMANCE!J360,RAW_PERFORMANCE!J361)</f>
        <v/>
      </c>
      <c r="N125" s="35">
        <f>AVERAGE(RAW_PERFORMANCE!P359,RAW_PERFORMANCE!P360,RAW_PERFORMANCE!P361)</f>
        <v/>
      </c>
      <c r="O125" s="31" t="inlineStr">
        <is>
          <t>COMPLETED DEVELOPMENT</t>
        </is>
      </c>
      <c r="P125" s="31" t="n"/>
    </row>
    <row r="126" ht="24" customHeight="1">
      <c r="A126" s="31" t="inlineStr">
        <is>
          <t>D020__TECO10</t>
        </is>
      </c>
      <c r="B126" s="31" t="inlineStr">
        <is>
          <t>D020</t>
        </is>
      </c>
      <c r="C126" s="31" t="inlineStr">
        <is>
          <t>TECO10</t>
        </is>
      </c>
      <c r="D126" s="47">
        <f>AVERAGE(RAW_PERFORMANCE!F362,RAW_PERFORMANCE!F363,RAW_PERFORMANCE!F364)</f>
        <v/>
      </c>
      <c r="E126" s="47">
        <f>AVERAGE(RAW_PERFORMANCE!G362,RAW_PERFORMANCE!G363,RAW_PERFORMANCE!G364)</f>
        <v/>
      </c>
      <c r="F126" s="47">
        <f>AVERAGE(RAW_PERFORMANCE!H362,RAW_PERFORMANCE!H363,RAW_PERFORMANCE!H364)</f>
        <v/>
      </c>
      <c r="G126" s="47">
        <f>AVERAGE(RAW_PERFORMANCE!I362,RAW_PERFORMANCE!I363,RAW_PERFORMANCE!I364)</f>
        <v/>
      </c>
      <c r="H126" s="48" t="n">
        <v>1</v>
      </c>
      <c r="I126" s="49">
        <f>COUNT(RAW_PERFORMANCE!F362,RAW_PERFORMANCE!F363,RAW_PERFORMANCE!F364)</f>
        <v/>
      </c>
      <c r="J126" s="35">
        <f>AVERAGE(RAW_PERFORMANCE!K362,RAW_PERFORMANCE!K363,RAW_PERFORMANCE!K364)</f>
        <v/>
      </c>
      <c r="K126" s="35">
        <f>AVERAGE(RAW_PERFORMANCE!L362,RAW_PERFORMANCE!L363,RAW_PERFORMANCE!L364)</f>
        <v/>
      </c>
      <c r="L126" s="35">
        <f>AVERAGE(RAW_PERFORMANCE!M362,RAW_PERFORMANCE!M363,RAW_PERFORMANCE!M364)</f>
        <v/>
      </c>
      <c r="M126" s="35">
        <f>AVERAGE(RAW_PERFORMANCE!J362,RAW_PERFORMANCE!J363,RAW_PERFORMANCE!J364)</f>
        <v/>
      </c>
      <c r="N126" s="35">
        <f>AVERAGE(RAW_PERFORMANCE!P362,RAW_PERFORMANCE!P363,RAW_PERFORMANCE!P364)</f>
        <v/>
      </c>
      <c r="O126" s="31" t="inlineStr">
        <is>
          <t>COMPLETED DEVELOPMENT</t>
        </is>
      </c>
      <c r="P126" s="31" t="n"/>
    </row>
    <row r="127" ht="24" customHeight="1">
      <c r="A127" s="31" t="inlineStr">
        <is>
          <t>D020__TECO15</t>
        </is>
      </c>
      <c r="B127" s="31" t="inlineStr">
        <is>
          <t>D020</t>
        </is>
      </c>
      <c r="C127" s="31" t="inlineStr">
        <is>
          <t>TECO15</t>
        </is>
      </c>
      <c r="D127" s="47">
        <f>AVERAGE(RAW_PERFORMANCE!F365,RAW_PERFORMANCE!F366,RAW_PERFORMANCE!F367)</f>
        <v/>
      </c>
      <c r="E127" s="47">
        <f>AVERAGE(RAW_PERFORMANCE!G365,RAW_PERFORMANCE!G366,RAW_PERFORMANCE!G367)</f>
        <v/>
      </c>
      <c r="F127" s="47">
        <f>AVERAGE(RAW_PERFORMANCE!H365,RAW_PERFORMANCE!H366,RAW_PERFORMANCE!H367)</f>
        <v/>
      </c>
      <c r="G127" s="47">
        <f>AVERAGE(RAW_PERFORMANCE!I365,RAW_PERFORMANCE!I366,RAW_PERFORMANCE!I367)</f>
        <v/>
      </c>
      <c r="H127" s="48" t="n">
        <v>0</v>
      </c>
      <c r="I127" s="49">
        <f>COUNT(RAW_PERFORMANCE!F365,RAW_PERFORMANCE!F366,RAW_PERFORMANCE!F367)</f>
        <v/>
      </c>
      <c r="J127" s="35">
        <f>AVERAGE(RAW_PERFORMANCE!K365,RAW_PERFORMANCE!K366,RAW_PERFORMANCE!K367)</f>
        <v/>
      </c>
      <c r="K127" s="35">
        <f>AVERAGE(RAW_PERFORMANCE!L365,RAW_PERFORMANCE!L366,RAW_PERFORMANCE!L367)</f>
        <v/>
      </c>
      <c r="L127" s="35">
        <f>AVERAGE(RAW_PERFORMANCE!M365,RAW_PERFORMANCE!M366,RAW_PERFORMANCE!M367)</f>
        <v/>
      </c>
      <c r="M127" s="35">
        <f>AVERAGE(RAW_PERFORMANCE!J365,RAW_PERFORMANCE!J366,RAW_PERFORMANCE!J367)</f>
        <v/>
      </c>
      <c r="N127" s="35">
        <f>AVERAGE(RAW_PERFORMANCE!P365,RAW_PERFORMANCE!P366,RAW_PERFORMANCE!P367)</f>
        <v/>
      </c>
      <c r="O127" s="31" t="inlineStr">
        <is>
          <t>COMPLETED DEVELOPMENT</t>
        </is>
      </c>
      <c r="P127" s="31" t="n"/>
    </row>
    <row r="128" ht="24" customHeight="1">
      <c r="A128" s="31" t="inlineStr">
        <is>
          <t>D021__SP</t>
        </is>
      </c>
      <c r="B128" s="31" t="inlineStr">
        <is>
          <t>D021</t>
        </is>
      </c>
      <c r="C128" s="31" t="inlineStr">
        <is>
          <t>SP</t>
        </is>
      </c>
      <c r="D128" s="47">
        <f>AVERAGE(RAW_PERFORMANCE!F368,RAW_PERFORMANCE!F369,RAW_PERFORMANCE!F370)</f>
        <v/>
      </c>
      <c r="E128" s="47">
        <f>AVERAGE(RAW_PERFORMANCE!G368,RAW_PERFORMANCE!G369,RAW_PERFORMANCE!G370)</f>
        <v/>
      </c>
      <c r="F128" s="47">
        <f>AVERAGE(RAW_PERFORMANCE!H368,RAW_PERFORMANCE!H369,RAW_PERFORMANCE!H370)</f>
        <v/>
      </c>
      <c r="G128" s="47">
        <f>AVERAGE(RAW_PERFORMANCE!I368,RAW_PERFORMANCE!I369,RAW_PERFORMANCE!I370)</f>
        <v/>
      </c>
      <c r="H128" s="48" t="n">
        <v>1</v>
      </c>
      <c r="I128" s="49">
        <f>COUNT(RAW_PERFORMANCE!F368,RAW_PERFORMANCE!F369,RAW_PERFORMANCE!F370)</f>
        <v/>
      </c>
      <c r="J128" s="35">
        <f>AVERAGE(RAW_PERFORMANCE!K368,RAW_PERFORMANCE!K369,RAW_PERFORMANCE!K370)</f>
        <v/>
      </c>
      <c r="K128" s="35">
        <f>AVERAGE(RAW_PERFORMANCE!L368,RAW_PERFORMANCE!L369,RAW_PERFORMANCE!L370)</f>
        <v/>
      </c>
      <c r="L128" s="35">
        <f>AVERAGE(RAW_PERFORMANCE!M368,RAW_PERFORMANCE!M369,RAW_PERFORMANCE!M370)</f>
        <v/>
      </c>
      <c r="M128" s="35">
        <f>AVERAGE(RAW_PERFORMANCE!J368,RAW_PERFORMANCE!J369,RAW_PERFORMANCE!J370)</f>
        <v/>
      </c>
      <c r="N128" s="35">
        <f>AVERAGE(RAW_PERFORMANCE!P368,RAW_PERFORMANCE!P369,RAW_PERFORMANCE!P370)</f>
        <v/>
      </c>
      <c r="O128" s="31" t="inlineStr">
        <is>
          <t>COMPLETED DEVELOPMENT</t>
        </is>
      </c>
      <c r="P128" s="31" t="n"/>
    </row>
    <row r="129" ht="24" customHeight="1">
      <c r="A129" s="31" t="inlineStr">
        <is>
          <t>D021__DTT</t>
        </is>
      </c>
      <c r="B129" s="31" t="inlineStr">
        <is>
          <t>D021</t>
        </is>
      </c>
      <c r="C129" s="31" t="inlineStr">
        <is>
          <t>DTT</t>
        </is>
      </c>
      <c r="D129" s="47">
        <f>AVERAGE(RAW_PERFORMANCE!F371,RAW_PERFORMANCE!F372,RAW_PERFORMANCE!F373)</f>
        <v/>
      </c>
      <c r="E129" s="47">
        <f>AVERAGE(RAW_PERFORMANCE!G371,RAW_PERFORMANCE!G372,RAW_PERFORMANCE!G373)</f>
        <v/>
      </c>
      <c r="F129" s="47">
        <f>AVERAGE(RAW_PERFORMANCE!H371,RAW_PERFORMANCE!H372,RAW_PERFORMANCE!H373)</f>
        <v/>
      </c>
      <c r="G129" s="47">
        <f>AVERAGE(RAW_PERFORMANCE!I371,RAW_PERFORMANCE!I372,RAW_PERFORMANCE!I373)</f>
        <v/>
      </c>
      <c r="H129" s="48" t="n">
        <v>1</v>
      </c>
      <c r="I129" s="49">
        <f>COUNT(RAW_PERFORMANCE!F371,RAW_PERFORMANCE!F372,RAW_PERFORMANCE!F373)</f>
        <v/>
      </c>
      <c r="J129" s="35">
        <f>AVERAGE(RAW_PERFORMANCE!K371,RAW_PERFORMANCE!K372,RAW_PERFORMANCE!K373)</f>
        <v/>
      </c>
      <c r="K129" s="35">
        <f>AVERAGE(RAW_PERFORMANCE!L371,RAW_PERFORMANCE!L372,RAW_PERFORMANCE!L373)</f>
        <v/>
      </c>
      <c r="L129" s="35">
        <f>AVERAGE(RAW_PERFORMANCE!M371,RAW_PERFORMANCE!M372,RAW_PERFORMANCE!M373)</f>
        <v/>
      </c>
      <c r="M129" s="35">
        <f>AVERAGE(RAW_PERFORMANCE!J371,RAW_PERFORMANCE!J372,RAW_PERFORMANCE!J373)</f>
        <v/>
      </c>
      <c r="N129" s="35">
        <f>AVERAGE(RAW_PERFORMANCE!P371,RAW_PERFORMANCE!P372,RAW_PERFORMANCE!P373)</f>
        <v/>
      </c>
      <c r="O129" s="31" t="inlineStr">
        <is>
          <t>COMPLETED DEVELOPMENT</t>
        </is>
      </c>
      <c r="P129" s="31" t="n"/>
    </row>
    <row r="130" ht="24" customHeight="1">
      <c r="A130" s="31" t="inlineStr">
        <is>
          <t>D021__ECO</t>
        </is>
      </c>
      <c r="B130" s="31" t="inlineStr">
        <is>
          <t>D021</t>
        </is>
      </c>
      <c r="C130" s="31" t="inlineStr">
        <is>
          <t>ECO</t>
        </is>
      </c>
      <c r="D130" s="47">
        <f>AVERAGE(RAW_PERFORMANCE!F374,RAW_PERFORMANCE!F375,RAW_PERFORMANCE!F376)</f>
        <v/>
      </c>
      <c r="E130" s="47">
        <f>AVERAGE(RAW_PERFORMANCE!G374,RAW_PERFORMANCE!G375,RAW_PERFORMANCE!G376)</f>
        <v/>
      </c>
      <c r="F130" s="47">
        <f>AVERAGE(RAW_PERFORMANCE!H374,RAW_PERFORMANCE!H375,RAW_PERFORMANCE!H376)</f>
        <v/>
      </c>
      <c r="G130" s="47">
        <f>AVERAGE(RAW_PERFORMANCE!I374,RAW_PERFORMANCE!I375,RAW_PERFORMANCE!I376)</f>
        <v/>
      </c>
      <c r="H130" s="48" t="n">
        <v>1</v>
      </c>
      <c r="I130" s="49">
        <f>COUNT(RAW_PERFORMANCE!F374,RAW_PERFORMANCE!F375,RAW_PERFORMANCE!F376)</f>
        <v/>
      </c>
      <c r="J130" s="35">
        <f>AVERAGE(RAW_PERFORMANCE!K374,RAW_PERFORMANCE!K375,RAW_PERFORMANCE!K376)</f>
        <v/>
      </c>
      <c r="K130" s="35">
        <f>AVERAGE(RAW_PERFORMANCE!L374,RAW_PERFORMANCE!L375,RAW_PERFORMANCE!L376)</f>
        <v/>
      </c>
      <c r="L130" s="35">
        <f>AVERAGE(RAW_PERFORMANCE!M374,RAW_PERFORMANCE!M375,RAW_PERFORMANCE!M376)</f>
        <v/>
      </c>
      <c r="M130" s="35">
        <f>AVERAGE(RAW_PERFORMANCE!J374,RAW_PERFORMANCE!J375,RAW_PERFORMANCE!J376)</f>
        <v/>
      </c>
      <c r="N130" s="35">
        <f>AVERAGE(RAW_PERFORMANCE!P374,RAW_PERFORMANCE!P375,RAW_PERFORMANCE!P376)</f>
        <v/>
      </c>
      <c r="O130" s="31" t="inlineStr">
        <is>
          <t>COMPLETED DEVELOPMENT</t>
        </is>
      </c>
      <c r="P130" s="31" t="n"/>
    </row>
    <row r="131" ht="24" customHeight="1">
      <c r="A131" s="31" t="inlineStr">
        <is>
          <t>D021__TECO05</t>
        </is>
      </c>
      <c r="B131" s="31" t="inlineStr">
        <is>
          <t>D021</t>
        </is>
      </c>
      <c r="C131" s="31" t="inlineStr">
        <is>
          <t>TECO05</t>
        </is>
      </c>
      <c r="D131" s="47">
        <f>AVERAGE(RAW_PERFORMANCE!F377,RAW_PERFORMANCE!F378,RAW_PERFORMANCE!F379)</f>
        <v/>
      </c>
      <c r="E131" s="47">
        <f>AVERAGE(RAW_PERFORMANCE!G377,RAW_PERFORMANCE!G378,RAW_PERFORMANCE!G379)</f>
        <v/>
      </c>
      <c r="F131" s="47">
        <f>AVERAGE(RAW_PERFORMANCE!H377,RAW_PERFORMANCE!H378,RAW_PERFORMANCE!H379)</f>
        <v/>
      </c>
      <c r="G131" s="47">
        <f>AVERAGE(RAW_PERFORMANCE!I377,RAW_PERFORMANCE!I378,RAW_PERFORMANCE!I379)</f>
        <v/>
      </c>
      <c r="H131" s="48" t="n">
        <v>0</v>
      </c>
      <c r="I131" s="49">
        <f>COUNT(RAW_PERFORMANCE!F377,RAW_PERFORMANCE!F378,RAW_PERFORMANCE!F379)</f>
        <v/>
      </c>
      <c r="J131" s="35">
        <f>AVERAGE(RAW_PERFORMANCE!K377,RAW_PERFORMANCE!K378,RAW_PERFORMANCE!K379)</f>
        <v/>
      </c>
      <c r="K131" s="35">
        <f>AVERAGE(RAW_PERFORMANCE!L377,RAW_PERFORMANCE!L378,RAW_PERFORMANCE!L379)</f>
        <v/>
      </c>
      <c r="L131" s="35">
        <f>AVERAGE(RAW_PERFORMANCE!M377,RAW_PERFORMANCE!M378,RAW_PERFORMANCE!M379)</f>
        <v/>
      </c>
      <c r="M131" s="35">
        <f>AVERAGE(RAW_PERFORMANCE!J377,RAW_PERFORMANCE!J378,RAW_PERFORMANCE!J379)</f>
        <v/>
      </c>
      <c r="N131" s="35">
        <f>AVERAGE(RAW_PERFORMANCE!P377,RAW_PERFORMANCE!P378,RAW_PERFORMANCE!P379)</f>
        <v/>
      </c>
      <c r="O131" s="31" t="inlineStr">
        <is>
          <t>COMPLETED DEVELOPMENT</t>
        </is>
      </c>
      <c r="P131" s="31" t="n"/>
    </row>
    <row r="132" ht="24" customHeight="1">
      <c r="A132" s="31" t="inlineStr">
        <is>
          <t>D021__TECO10</t>
        </is>
      </c>
      <c r="B132" s="31" t="inlineStr">
        <is>
          <t>D021</t>
        </is>
      </c>
      <c r="C132" s="31" t="inlineStr">
        <is>
          <t>TECO10</t>
        </is>
      </c>
      <c r="D132" s="47">
        <f>AVERAGE(RAW_PERFORMANCE!F380,RAW_PERFORMANCE!F381,RAW_PERFORMANCE!F382)</f>
        <v/>
      </c>
      <c r="E132" s="47">
        <f>AVERAGE(RAW_PERFORMANCE!G380,RAW_PERFORMANCE!G381,RAW_PERFORMANCE!G382)</f>
        <v/>
      </c>
      <c r="F132" s="47">
        <f>AVERAGE(RAW_PERFORMANCE!H380,RAW_PERFORMANCE!H381,RAW_PERFORMANCE!H382)</f>
        <v/>
      </c>
      <c r="G132" s="47">
        <f>AVERAGE(RAW_PERFORMANCE!I380,RAW_PERFORMANCE!I381,RAW_PERFORMANCE!I382)</f>
        <v/>
      </c>
      <c r="H132" s="48" t="n">
        <v>1</v>
      </c>
      <c r="I132" s="49">
        <f>COUNT(RAW_PERFORMANCE!F380,RAW_PERFORMANCE!F381,RAW_PERFORMANCE!F382)</f>
        <v/>
      </c>
      <c r="J132" s="35">
        <f>AVERAGE(RAW_PERFORMANCE!K380,RAW_PERFORMANCE!K381,RAW_PERFORMANCE!K382)</f>
        <v/>
      </c>
      <c r="K132" s="35">
        <f>AVERAGE(RAW_PERFORMANCE!L380,RAW_PERFORMANCE!L381,RAW_PERFORMANCE!L382)</f>
        <v/>
      </c>
      <c r="L132" s="35">
        <f>AVERAGE(RAW_PERFORMANCE!M380,RAW_PERFORMANCE!M381,RAW_PERFORMANCE!M382)</f>
        <v/>
      </c>
      <c r="M132" s="35">
        <f>AVERAGE(RAW_PERFORMANCE!J380,RAW_PERFORMANCE!J381,RAW_PERFORMANCE!J382)</f>
        <v/>
      </c>
      <c r="N132" s="35">
        <f>AVERAGE(RAW_PERFORMANCE!P380,RAW_PERFORMANCE!P381,RAW_PERFORMANCE!P382)</f>
        <v/>
      </c>
      <c r="O132" s="31" t="inlineStr">
        <is>
          <t>COMPLETED DEVELOPMENT</t>
        </is>
      </c>
      <c r="P132" s="31" t="n"/>
    </row>
    <row r="133" ht="24" customHeight="1">
      <c r="A133" s="31" t="inlineStr">
        <is>
          <t>D021__TECO15</t>
        </is>
      </c>
      <c r="B133" s="31" t="inlineStr">
        <is>
          <t>D021</t>
        </is>
      </c>
      <c r="C133" s="31" t="inlineStr">
        <is>
          <t>TECO15</t>
        </is>
      </c>
      <c r="D133" s="47">
        <f>AVERAGE(RAW_PERFORMANCE!F383,RAW_PERFORMANCE!F384,RAW_PERFORMANCE!F385)</f>
        <v/>
      </c>
      <c r="E133" s="47">
        <f>AVERAGE(RAW_PERFORMANCE!G383,RAW_PERFORMANCE!G384,RAW_PERFORMANCE!G385)</f>
        <v/>
      </c>
      <c r="F133" s="47">
        <f>AVERAGE(RAW_PERFORMANCE!H383,RAW_PERFORMANCE!H384,RAW_PERFORMANCE!H385)</f>
        <v/>
      </c>
      <c r="G133" s="47">
        <f>AVERAGE(RAW_PERFORMANCE!I383,RAW_PERFORMANCE!I384,RAW_PERFORMANCE!I385)</f>
        <v/>
      </c>
      <c r="H133" s="48" t="n">
        <v>0</v>
      </c>
      <c r="I133" s="49">
        <f>COUNT(RAW_PERFORMANCE!F383,RAW_PERFORMANCE!F384,RAW_PERFORMANCE!F385)</f>
        <v/>
      </c>
      <c r="J133" s="35">
        <f>AVERAGE(RAW_PERFORMANCE!K383,RAW_PERFORMANCE!K384,RAW_PERFORMANCE!K385)</f>
        <v/>
      </c>
      <c r="K133" s="35">
        <f>AVERAGE(RAW_PERFORMANCE!L383,RAW_PERFORMANCE!L384,RAW_PERFORMANCE!L385)</f>
        <v/>
      </c>
      <c r="L133" s="35">
        <f>AVERAGE(RAW_PERFORMANCE!M383,RAW_PERFORMANCE!M384,RAW_PERFORMANCE!M385)</f>
        <v/>
      </c>
      <c r="M133" s="35">
        <f>AVERAGE(RAW_PERFORMANCE!J383,RAW_PERFORMANCE!J384,RAW_PERFORMANCE!J385)</f>
        <v/>
      </c>
      <c r="N133" s="35">
        <f>AVERAGE(RAW_PERFORMANCE!P383,RAW_PERFORMANCE!P384,RAW_PERFORMANCE!P385)</f>
        <v/>
      </c>
      <c r="O133" s="31" t="inlineStr">
        <is>
          <t>COMPLETED DEVELOPMENT</t>
        </is>
      </c>
      <c r="P133" s="31" t="n"/>
    </row>
    <row r="134" ht="24" customHeight="1">
      <c r="A134" s="31" t="inlineStr">
        <is>
          <t>D022__SP</t>
        </is>
      </c>
      <c r="B134" s="31" t="inlineStr">
        <is>
          <t>D022</t>
        </is>
      </c>
      <c r="C134" s="31" t="inlineStr">
        <is>
          <t>SP</t>
        </is>
      </c>
      <c r="D134" s="47">
        <f>AVERAGE(RAW_PERFORMANCE!F386,RAW_PERFORMANCE!F387,RAW_PERFORMANCE!F388)</f>
        <v/>
      </c>
      <c r="E134" s="47">
        <f>AVERAGE(RAW_PERFORMANCE!G386,RAW_PERFORMANCE!G387,RAW_PERFORMANCE!G388)</f>
        <v/>
      </c>
      <c r="F134" s="47">
        <f>AVERAGE(RAW_PERFORMANCE!H386,RAW_PERFORMANCE!H387,RAW_PERFORMANCE!H388)</f>
        <v/>
      </c>
      <c r="G134" s="47">
        <f>AVERAGE(RAW_PERFORMANCE!I386,RAW_PERFORMANCE!I387,RAW_PERFORMANCE!I388)</f>
        <v/>
      </c>
      <c r="H134" s="48" t="n">
        <v>1</v>
      </c>
      <c r="I134" s="49">
        <f>COUNT(RAW_PERFORMANCE!F386,RAW_PERFORMANCE!F387,RAW_PERFORMANCE!F388)</f>
        <v/>
      </c>
      <c r="J134" s="35">
        <f>AVERAGE(RAW_PERFORMANCE!K386,RAW_PERFORMANCE!K387,RAW_PERFORMANCE!K388)</f>
        <v/>
      </c>
      <c r="K134" s="35">
        <f>AVERAGE(RAW_PERFORMANCE!L386,RAW_PERFORMANCE!L387,RAW_PERFORMANCE!L388)</f>
        <v/>
      </c>
      <c r="L134" s="35">
        <f>AVERAGE(RAW_PERFORMANCE!M386,RAW_PERFORMANCE!M387,RAW_PERFORMANCE!M388)</f>
        <v/>
      </c>
      <c r="M134" s="35">
        <f>AVERAGE(RAW_PERFORMANCE!J386,RAW_PERFORMANCE!J387,RAW_PERFORMANCE!J388)</f>
        <v/>
      </c>
      <c r="N134" s="35">
        <f>AVERAGE(RAW_PERFORMANCE!P386,RAW_PERFORMANCE!P387,RAW_PERFORMANCE!P388)</f>
        <v/>
      </c>
      <c r="O134" s="31" t="inlineStr">
        <is>
          <t>COMPLETED DEVELOPMENT</t>
        </is>
      </c>
      <c r="P134" s="31" t="n"/>
    </row>
    <row r="135" ht="24" customHeight="1">
      <c r="A135" s="31" t="inlineStr">
        <is>
          <t>D022__DTT</t>
        </is>
      </c>
      <c r="B135" s="31" t="inlineStr">
        <is>
          <t>D022</t>
        </is>
      </c>
      <c r="C135" s="31" t="inlineStr">
        <is>
          <t>DTT</t>
        </is>
      </c>
      <c r="D135" s="47">
        <f>AVERAGE(RAW_PERFORMANCE!F389,RAW_PERFORMANCE!F390,RAW_PERFORMANCE!F391)</f>
        <v/>
      </c>
      <c r="E135" s="47">
        <f>AVERAGE(RAW_PERFORMANCE!G389,RAW_PERFORMANCE!G390,RAW_PERFORMANCE!G391)</f>
        <v/>
      </c>
      <c r="F135" s="47">
        <f>AVERAGE(RAW_PERFORMANCE!H389,RAW_PERFORMANCE!H390,RAW_PERFORMANCE!H391)</f>
        <v/>
      </c>
      <c r="G135" s="47">
        <f>AVERAGE(RAW_PERFORMANCE!I389,RAW_PERFORMANCE!I390,RAW_PERFORMANCE!I391)</f>
        <v/>
      </c>
      <c r="H135" s="48" t="n">
        <v>1</v>
      </c>
      <c r="I135" s="49">
        <f>COUNT(RAW_PERFORMANCE!F389,RAW_PERFORMANCE!F390,RAW_PERFORMANCE!F391)</f>
        <v/>
      </c>
      <c r="J135" s="35">
        <f>AVERAGE(RAW_PERFORMANCE!K389,RAW_PERFORMANCE!K390,RAW_PERFORMANCE!K391)</f>
        <v/>
      </c>
      <c r="K135" s="35">
        <f>AVERAGE(RAW_PERFORMANCE!L389,RAW_PERFORMANCE!L390,RAW_PERFORMANCE!L391)</f>
        <v/>
      </c>
      <c r="L135" s="35">
        <f>AVERAGE(RAW_PERFORMANCE!M389,RAW_PERFORMANCE!M390,RAW_PERFORMANCE!M391)</f>
        <v/>
      </c>
      <c r="M135" s="35">
        <f>AVERAGE(RAW_PERFORMANCE!J389,RAW_PERFORMANCE!J390,RAW_PERFORMANCE!J391)</f>
        <v/>
      </c>
      <c r="N135" s="35">
        <f>AVERAGE(RAW_PERFORMANCE!P389,RAW_PERFORMANCE!P390,RAW_PERFORMANCE!P391)</f>
        <v/>
      </c>
      <c r="O135" s="31" t="inlineStr">
        <is>
          <t>COMPLETED DEVELOPMENT</t>
        </is>
      </c>
      <c r="P135" s="31" t="n"/>
    </row>
    <row r="136" ht="24" customHeight="1">
      <c r="A136" s="31" t="inlineStr">
        <is>
          <t>D022__ECO</t>
        </is>
      </c>
      <c r="B136" s="31" t="inlineStr">
        <is>
          <t>D022</t>
        </is>
      </c>
      <c r="C136" s="31" t="inlineStr">
        <is>
          <t>ECO</t>
        </is>
      </c>
      <c r="D136" s="47">
        <f>AVERAGE(RAW_PERFORMANCE!F392,RAW_PERFORMANCE!F393,RAW_PERFORMANCE!F394)</f>
        <v/>
      </c>
      <c r="E136" s="47">
        <f>AVERAGE(RAW_PERFORMANCE!G392,RAW_PERFORMANCE!G393,RAW_PERFORMANCE!G394)</f>
        <v/>
      </c>
      <c r="F136" s="47">
        <f>AVERAGE(RAW_PERFORMANCE!H392,RAW_PERFORMANCE!H393,RAW_PERFORMANCE!H394)</f>
        <v/>
      </c>
      <c r="G136" s="47">
        <f>AVERAGE(RAW_PERFORMANCE!I392,RAW_PERFORMANCE!I393,RAW_PERFORMANCE!I394)</f>
        <v/>
      </c>
      <c r="H136" s="48" t="n">
        <v>1</v>
      </c>
      <c r="I136" s="49">
        <f>COUNT(RAW_PERFORMANCE!F392,RAW_PERFORMANCE!F393,RAW_PERFORMANCE!F394)</f>
        <v/>
      </c>
      <c r="J136" s="35">
        <f>AVERAGE(RAW_PERFORMANCE!K392,RAW_PERFORMANCE!K393,RAW_PERFORMANCE!K394)</f>
        <v/>
      </c>
      <c r="K136" s="35">
        <f>AVERAGE(RAW_PERFORMANCE!L392,RAW_PERFORMANCE!L393,RAW_PERFORMANCE!L394)</f>
        <v/>
      </c>
      <c r="L136" s="35">
        <f>AVERAGE(RAW_PERFORMANCE!M392,RAW_PERFORMANCE!M393,RAW_PERFORMANCE!M394)</f>
        <v/>
      </c>
      <c r="M136" s="35">
        <f>AVERAGE(RAW_PERFORMANCE!J392,RAW_PERFORMANCE!J393,RAW_PERFORMANCE!J394)</f>
        <v/>
      </c>
      <c r="N136" s="35">
        <f>AVERAGE(RAW_PERFORMANCE!P392,RAW_PERFORMANCE!P393,RAW_PERFORMANCE!P394)</f>
        <v/>
      </c>
      <c r="O136" s="31" t="inlineStr">
        <is>
          <t>COMPLETED DEVELOPMENT</t>
        </is>
      </c>
      <c r="P136" s="31" t="n"/>
    </row>
    <row r="137" ht="24" customHeight="1">
      <c r="A137" s="31" t="inlineStr">
        <is>
          <t>D022__TECO05</t>
        </is>
      </c>
      <c r="B137" s="31" t="inlineStr">
        <is>
          <t>D022</t>
        </is>
      </c>
      <c r="C137" s="31" t="inlineStr">
        <is>
          <t>TECO05</t>
        </is>
      </c>
      <c r="D137" s="47">
        <f>AVERAGE(RAW_PERFORMANCE!F395,RAW_PERFORMANCE!F396,RAW_PERFORMANCE!F397)</f>
        <v/>
      </c>
      <c r="E137" s="47">
        <f>AVERAGE(RAW_PERFORMANCE!G395,RAW_PERFORMANCE!G396,RAW_PERFORMANCE!G397)</f>
        <v/>
      </c>
      <c r="F137" s="47">
        <f>AVERAGE(RAW_PERFORMANCE!H395,RAW_PERFORMANCE!H396,RAW_PERFORMANCE!H397)</f>
        <v/>
      </c>
      <c r="G137" s="47">
        <f>AVERAGE(RAW_PERFORMANCE!I395,RAW_PERFORMANCE!I396,RAW_PERFORMANCE!I397)</f>
        <v/>
      </c>
      <c r="H137" s="48" t="n">
        <v>0</v>
      </c>
      <c r="I137" s="49">
        <f>COUNT(RAW_PERFORMANCE!F395,RAW_PERFORMANCE!F396,RAW_PERFORMANCE!F397)</f>
        <v/>
      </c>
      <c r="J137" s="35">
        <f>AVERAGE(RAW_PERFORMANCE!K395,RAW_PERFORMANCE!K396,RAW_PERFORMANCE!K397)</f>
        <v/>
      </c>
      <c r="K137" s="35">
        <f>AVERAGE(RAW_PERFORMANCE!L395,RAW_PERFORMANCE!L396,RAW_PERFORMANCE!L397)</f>
        <v/>
      </c>
      <c r="L137" s="35">
        <f>AVERAGE(RAW_PERFORMANCE!M395,RAW_PERFORMANCE!M396,RAW_PERFORMANCE!M397)</f>
        <v/>
      </c>
      <c r="M137" s="35">
        <f>AVERAGE(RAW_PERFORMANCE!J395,RAW_PERFORMANCE!J396,RAW_PERFORMANCE!J397)</f>
        <v/>
      </c>
      <c r="N137" s="35">
        <f>AVERAGE(RAW_PERFORMANCE!P395,RAW_PERFORMANCE!P396,RAW_PERFORMANCE!P397)</f>
        <v/>
      </c>
      <c r="O137" s="31" t="inlineStr">
        <is>
          <t>COMPLETED DEVELOPMENT</t>
        </is>
      </c>
      <c r="P137" s="31" t="n"/>
    </row>
    <row r="138" ht="24" customHeight="1">
      <c r="A138" s="31" t="inlineStr">
        <is>
          <t>D022__TECO10</t>
        </is>
      </c>
      <c r="B138" s="31" t="inlineStr">
        <is>
          <t>D022</t>
        </is>
      </c>
      <c r="C138" s="31" t="inlineStr">
        <is>
          <t>TECO10</t>
        </is>
      </c>
      <c r="D138" s="47">
        <f>AVERAGE(RAW_PERFORMANCE!F398,RAW_PERFORMANCE!F399,RAW_PERFORMANCE!F400)</f>
        <v/>
      </c>
      <c r="E138" s="47">
        <f>AVERAGE(RAW_PERFORMANCE!G398,RAW_PERFORMANCE!G399,RAW_PERFORMANCE!G400)</f>
        <v/>
      </c>
      <c r="F138" s="47">
        <f>AVERAGE(RAW_PERFORMANCE!H398,RAW_PERFORMANCE!H399,RAW_PERFORMANCE!H400)</f>
        <v/>
      </c>
      <c r="G138" s="47">
        <f>AVERAGE(RAW_PERFORMANCE!I398,RAW_PERFORMANCE!I399,RAW_PERFORMANCE!I400)</f>
        <v/>
      </c>
      <c r="H138" s="48" t="n">
        <v>1</v>
      </c>
      <c r="I138" s="49">
        <f>COUNT(RAW_PERFORMANCE!F398,RAW_PERFORMANCE!F399,RAW_PERFORMANCE!F400)</f>
        <v/>
      </c>
      <c r="J138" s="35">
        <f>AVERAGE(RAW_PERFORMANCE!K398,RAW_PERFORMANCE!K399,RAW_PERFORMANCE!K400)</f>
        <v/>
      </c>
      <c r="K138" s="35">
        <f>AVERAGE(RAW_PERFORMANCE!L398,RAW_PERFORMANCE!L399,RAW_PERFORMANCE!L400)</f>
        <v/>
      </c>
      <c r="L138" s="35">
        <f>AVERAGE(RAW_PERFORMANCE!M398,RAW_PERFORMANCE!M399,RAW_PERFORMANCE!M400)</f>
        <v/>
      </c>
      <c r="M138" s="35">
        <f>AVERAGE(RAW_PERFORMANCE!J398,RAW_PERFORMANCE!J399,RAW_PERFORMANCE!J400)</f>
        <v/>
      </c>
      <c r="N138" s="35">
        <f>AVERAGE(RAW_PERFORMANCE!P398,RAW_PERFORMANCE!P399,RAW_PERFORMANCE!P400)</f>
        <v/>
      </c>
      <c r="O138" s="31" t="inlineStr">
        <is>
          <t>COMPLETED DEVELOPMENT</t>
        </is>
      </c>
      <c r="P138" s="31" t="n"/>
    </row>
    <row r="139" ht="24" customHeight="1">
      <c r="A139" s="31" t="inlineStr">
        <is>
          <t>D022__TECO15</t>
        </is>
      </c>
      <c r="B139" s="31" t="inlineStr">
        <is>
          <t>D022</t>
        </is>
      </c>
      <c r="C139" s="31" t="inlineStr">
        <is>
          <t>TECO15</t>
        </is>
      </c>
      <c r="D139" s="47">
        <f>AVERAGE(RAW_PERFORMANCE!F401,RAW_PERFORMANCE!F402,RAW_PERFORMANCE!F403)</f>
        <v/>
      </c>
      <c r="E139" s="47">
        <f>AVERAGE(RAW_PERFORMANCE!G401,RAW_PERFORMANCE!G402,RAW_PERFORMANCE!G403)</f>
        <v/>
      </c>
      <c r="F139" s="47">
        <f>AVERAGE(RAW_PERFORMANCE!H401,RAW_PERFORMANCE!H402,RAW_PERFORMANCE!H403)</f>
        <v/>
      </c>
      <c r="G139" s="47">
        <f>AVERAGE(RAW_PERFORMANCE!I401,RAW_PERFORMANCE!I402,RAW_PERFORMANCE!I403)</f>
        <v/>
      </c>
      <c r="H139" s="48" t="n">
        <v>0</v>
      </c>
      <c r="I139" s="49">
        <f>COUNT(RAW_PERFORMANCE!F401,RAW_PERFORMANCE!F402,RAW_PERFORMANCE!F403)</f>
        <v/>
      </c>
      <c r="J139" s="35">
        <f>AVERAGE(RAW_PERFORMANCE!K401,RAW_PERFORMANCE!K402,RAW_PERFORMANCE!K403)</f>
        <v/>
      </c>
      <c r="K139" s="35">
        <f>AVERAGE(RAW_PERFORMANCE!L401,RAW_PERFORMANCE!L402,RAW_PERFORMANCE!L403)</f>
        <v/>
      </c>
      <c r="L139" s="35">
        <f>AVERAGE(RAW_PERFORMANCE!M401,RAW_PERFORMANCE!M402,RAW_PERFORMANCE!M403)</f>
        <v/>
      </c>
      <c r="M139" s="35">
        <f>AVERAGE(RAW_PERFORMANCE!J401,RAW_PERFORMANCE!J402,RAW_PERFORMANCE!J403)</f>
        <v/>
      </c>
      <c r="N139" s="35">
        <f>AVERAGE(RAW_PERFORMANCE!P401,RAW_PERFORMANCE!P402,RAW_PERFORMANCE!P403)</f>
        <v/>
      </c>
      <c r="O139" s="31" t="inlineStr">
        <is>
          <t>COMPLETED DEVELOPMENT</t>
        </is>
      </c>
      <c r="P139" s="31" t="n"/>
    </row>
    <row r="140" ht="24" customHeight="1">
      <c r="A140" s="31" t="inlineStr">
        <is>
          <t>D023__SP</t>
        </is>
      </c>
      <c r="B140" s="31" t="inlineStr">
        <is>
          <t>D023</t>
        </is>
      </c>
      <c r="C140" s="31" t="inlineStr">
        <is>
          <t>SP</t>
        </is>
      </c>
      <c r="D140" s="47">
        <f>AVERAGE(RAW_PERFORMANCE!F404,RAW_PERFORMANCE!F405,RAW_PERFORMANCE!F406)</f>
        <v/>
      </c>
      <c r="E140" s="47">
        <f>AVERAGE(RAW_PERFORMANCE!G404,RAW_PERFORMANCE!G405,RAW_PERFORMANCE!G406)</f>
        <v/>
      </c>
      <c r="F140" s="47">
        <f>AVERAGE(RAW_PERFORMANCE!H404,RAW_PERFORMANCE!H405,RAW_PERFORMANCE!H406)</f>
        <v/>
      </c>
      <c r="G140" s="47">
        <f>AVERAGE(RAW_PERFORMANCE!I404,RAW_PERFORMANCE!I405,RAW_PERFORMANCE!I406)</f>
        <v/>
      </c>
      <c r="H140" s="48" t="n">
        <v>1</v>
      </c>
      <c r="I140" s="49">
        <f>COUNT(RAW_PERFORMANCE!F404,RAW_PERFORMANCE!F405,RAW_PERFORMANCE!F406)</f>
        <v/>
      </c>
      <c r="J140" s="35">
        <f>AVERAGE(RAW_PERFORMANCE!K404,RAW_PERFORMANCE!K405,RAW_PERFORMANCE!K406)</f>
        <v/>
      </c>
      <c r="K140" s="35">
        <f>AVERAGE(RAW_PERFORMANCE!L404,RAW_PERFORMANCE!L405,RAW_PERFORMANCE!L406)</f>
        <v/>
      </c>
      <c r="L140" s="35">
        <f>AVERAGE(RAW_PERFORMANCE!M404,RAW_PERFORMANCE!M405,RAW_PERFORMANCE!M406)</f>
        <v/>
      </c>
      <c r="M140" s="35">
        <f>AVERAGE(RAW_PERFORMANCE!J404,RAW_PERFORMANCE!J405,RAW_PERFORMANCE!J406)</f>
        <v/>
      </c>
      <c r="N140" s="35">
        <f>AVERAGE(RAW_PERFORMANCE!P404,RAW_PERFORMANCE!P405,RAW_PERFORMANCE!P406)</f>
        <v/>
      </c>
      <c r="O140" s="31" t="inlineStr">
        <is>
          <t>COMPLETED DEVELOPMENT</t>
        </is>
      </c>
      <c r="P140" s="31" t="n"/>
    </row>
    <row r="141" ht="24" customHeight="1">
      <c r="A141" s="31" t="inlineStr">
        <is>
          <t>D023__DTT</t>
        </is>
      </c>
      <c r="B141" s="31" t="inlineStr">
        <is>
          <t>D023</t>
        </is>
      </c>
      <c r="C141" s="31" t="inlineStr">
        <is>
          <t>DTT</t>
        </is>
      </c>
      <c r="D141" s="47">
        <f>AVERAGE(RAW_PERFORMANCE!F407,RAW_PERFORMANCE!F408,RAW_PERFORMANCE!F409)</f>
        <v/>
      </c>
      <c r="E141" s="47">
        <f>AVERAGE(RAW_PERFORMANCE!G407,RAW_PERFORMANCE!G408,RAW_PERFORMANCE!G409)</f>
        <v/>
      </c>
      <c r="F141" s="47">
        <f>AVERAGE(RAW_PERFORMANCE!H407,RAW_PERFORMANCE!H408,RAW_PERFORMANCE!H409)</f>
        <v/>
      </c>
      <c r="G141" s="47">
        <f>AVERAGE(RAW_PERFORMANCE!I407,RAW_PERFORMANCE!I408,RAW_PERFORMANCE!I409)</f>
        <v/>
      </c>
      <c r="H141" s="48" t="n">
        <v>1</v>
      </c>
      <c r="I141" s="49">
        <f>COUNT(RAW_PERFORMANCE!F407,RAW_PERFORMANCE!F408,RAW_PERFORMANCE!F409)</f>
        <v/>
      </c>
      <c r="J141" s="35">
        <f>AVERAGE(RAW_PERFORMANCE!K407,RAW_PERFORMANCE!K408,RAW_PERFORMANCE!K409)</f>
        <v/>
      </c>
      <c r="K141" s="35">
        <f>AVERAGE(RAW_PERFORMANCE!L407,RAW_PERFORMANCE!L408,RAW_PERFORMANCE!L409)</f>
        <v/>
      </c>
      <c r="L141" s="35">
        <f>AVERAGE(RAW_PERFORMANCE!M407,RAW_PERFORMANCE!M408,RAW_PERFORMANCE!M409)</f>
        <v/>
      </c>
      <c r="M141" s="35">
        <f>AVERAGE(RAW_PERFORMANCE!J407,RAW_PERFORMANCE!J408,RAW_PERFORMANCE!J409)</f>
        <v/>
      </c>
      <c r="N141" s="35">
        <f>AVERAGE(RAW_PERFORMANCE!P407,RAW_PERFORMANCE!P408,RAW_PERFORMANCE!P409)</f>
        <v/>
      </c>
      <c r="O141" s="31" t="inlineStr">
        <is>
          <t>COMPLETED DEVELOPMENT</t>
        </is>
      </c>
      <c r="P141" s="31" t="n"/>
    </row>
    <row r="142" ht="24" customHeight="1">
      <c r="A142" s="31" t="inlineStr">
        <is>
          <t>D023__ECO</t>
        </is>
      </c>
      <c r="B142" s="31" t="inlineStr">
        <is>
          <t>D023</t>
        </is>
      </c>
      <c r="C142" s="31" t="inlineStr">
        <is>
          <t>ECO</t>
        </is>
      </c>
      <c r="D142" s="47">
        <f>AVERAGE(RAW_PERFORMANCE!F410,RAW_PERFORMANCE!F411,RAW_PERFORMANCE!F412)</f>
        <v/>
      </c>
      <c r="E142" s="47">
        <f>AVERAGE(RAW_PERFORMANCE!G410,RAW_PERFORMANCE!G411,RAW_PERFORMANCE!G412)</f>
        <v/>
      </c>
      <c r="F142" s="47">
        <f>AVERAGE(RAW_PERFORMANCE!H410,RAW_PERFORMANCE!H411,RAW_PERFORMANCE!H412)</f>
        <v/>
      </c>
      <c r="G142" s="47">
        <f>AVERAGE(RAW_PERFORMANCE!I410,RAW_PERFORMANCE!I411,RAW_PERFORMANCE!I412)</f>
        <v/>
      </c>
      <c r="H142" s="48" t="n">
        <v>1</v>
      </c>
      <c r="I142" s="49">
        <f>COUNT(RAW_PERFORMANCE!F410,RAW_PERFORMANCE!F411,RAW_PERFORMANCE!F412)</f>
        <v/>
      </c>
      <c r="J142" s="35">
        <f>AVERAGE(RAW_PERFORMANCE!K410,RAW_PERFORMANCE!K411,RAW_PERFORMANCE!K412)</f>
        <v/>
      </c>
      <c r="K142" s="35">
        <f>AVERAGE(RAW_PERFORMANCE!L410,RAW_PERFORMANCE!L411,RAW_PERFORMANCE!L412)</f>
        <v/>
      </c>
      <c r="L142" s="35">
        <f>AVERAGE(RAW_PERFORMANCE!M410,RAW_PERFORMANCE!M411,RAW_PERFORMANCE!M412)</f>
        <v/>
      </c>
      <c r="M142" s="35">
        <f>AVERAGE(RAW_PERFORMANCE!J410,RAW_PERFORMANCE!J411,RAW_PERFORMANCE!J412)</f>
        <v/>
      </c>
      <c r="N142" s="35">
        <f>AVERAGE(RAW_PERFORMANCE!P410,RAW_PERFORMANCE!P411,RAW_PERFORMANCE!P412)</f>
        <v/>
      </c>
      <c r="O142" s="31" t="inlineStr">
        <is>
          <t>COMPLETED DEVELOPMENT</t>
        </is>
      </c>
      <c r="P142" s="31" t="n"/>
    </row>
    <row r="143" ht="24" customHeight="1">
      <c r="A143" s="31" t="inlineStr">
        <is>
          <t>D023__TECO05</t>
        </is>
      </c>
      <c r="B143" s="31" t="inlineStr">
        <is>
          <t>D023</t>
        </is>
      </c>
      <c r="C143" s="31" t="inlineStr">
        <is>
          <t>TECO05</t>
        </is>
      </c>
      <c r="D143" s="47">
        <f>AVERAGE(RAW_PERFORMANCE!F413,RAW_PERFORMANCE!F414,RAW_PERFORMANCE!F415)</f>
        <v/>
      </c>
      <c r="E143" s="47">
        <f>AVERAGE(RAW_PERFORMANCE!G413,RAW_PERFORMANCE!G414,RAW_PERFORMANCE!G415)</f>
        <v/>
      </c>
      <c r="F143" s="47">
        <f>AVERAGE(RAW_PERFORMANCE!H413,RAW_PERFORMANCE!H414,RAW_PERFORMANCE!H415)</f>
        <v/>
      </c>
      <c r="G143" s="47">
        <f>AVERAGE(RAW_PERFORMANCE!I413,RAW_PERFORMANCE!I414,RAW_PERFORMANCE!I415)</f>
        <v/>
      </c>
      <c r="H143" s="48" t="n">
        <v>0</v>
      </c>
      <c r="I143" s="49">
        <f>COUNT(RAW_PERFORMANCE!F413,RAW_PERFORMANCE!F414,RAW_PERFORMANCE!F415)</f>
        <v/>
      </c>
      <c r="J143" s="35">
        <f>AVERAGE(RAW_PERFORMANCE!K413,RAW_PERFORMANCE!K414,RAW_PERFORMANCE!K415)</f>
        <v/>
      </c>
      <c r="K143" s="35">
        <f>AVERAGE(RAW_PERFORMANCE!L413,RAW_PERFORMANCE!L414,RAW_PERFORMANCE!L415)</f>
        <v/>
      </c>
      <c r="L143" s="35">
        <f>AVERAGE(RAW_PERFORMANCE!M413,RAW_PERFORMANCE!M414,RAW_PERFORMANCE!M415)</f>
        <v/>
      </c>
      <c r="M143" s="35">
        <f>AVERAGE(RAW_PERFORMANCE!J413,RAW_PERFORMANCE!J414,RAW_PERFORMANCE!J415)</f>
        <v/>
      </c>
      <c r="N143" s="35">
        <f>AVERAGE(RAW_PERFORMANCE!P413,RAW_PERFORMANCE!P414,RAW_PERFORMANCE!P415)</f>
        <v/>
      </c>
      <c r="O143" s="31" t="inlineStr">
        <is>
          <t>COMPLETED DEVELOPMENT</t>
        </is>
      </c>
      <c r="P143" s="31" t="n"/>
    </row>
    <row r="144" ht="24" customHeight="1">
      <c r="A144" s="31" t="inlineStr">
        <is>
          <t>D023__TECO10</t>
        </is>
      </c>
      <c r="B144" s="31" t="inlineStr">
        <is>
          <t>D023</t>
        </is>
      </c>
      <c r="C144" s="31" t="inlineStr">
        <is>
          <t>TECO10</t>
        </is>
      </c>
      <c r="D144" s="47">
        <f>AVERAGE(RAW_PERFORMANCE!F416,RAW_PERFORMANCE!F417,RAW_PERFORMANCE!F418)</f>
        <v/>
      </c>
      <c r="E144" s="47">
        <f>AVERAGE(RAW_PERFORMANCE!G416,RAW_PERFORMANCE!G417,RAW_PERFORMANCE!G418)</f>
        <v/>
      </c>
      <c r="F144" s="47">
        <f>AVERAGE(RAW_PERFORMANCE!H416,RAW_PERFORMANCE!H417,RAW_PERFORMANCE!H418)</f>
        <v/>
      </c>
      <c r="G144" s="47">
        <f>AVERAGE(RAW_PERFORMANCE!I416,RAW_PERFORMANCE!I417,RAW_PERFORMANCE!I418)</f>
        <v/>
      </c>
      <c r="H144" s="48" t="n">
        <v>1</v>
      </c>
      <c r="I144" s="49">
        <f>COUNT(RAW_PERFORMANCE!F416,RAW_PERFORMANCE!F417,RAW_PERFORMANCE!F418)</f>
        <v/>
      </c>
      <c r="J144" s="35">
        <f>AVERAGE(RAW_PERFORMANCE!K416,RAW_PERFORMANCE!K417,RAW_PERFORMANCE!K418)</f>
        <v/>
      </c>
      <c r="K144" s="35">
        <f>AVERAGE(RAW_PERFORMANCE!L416,RAW_PERFORMANCE!L417,RAW_PERFORMANCE!L418)</f>
        <v/>
      </c>
      <c r="L144" s="35">
        <f>AVERAGE(RAW_PERFORMANCE!M416,RAW_PERFORMANCE!M417,RAW_PERFORMANCE!M418)</f>
        <v/>
      </c>
      <c r="M144" s="35">
        <f>AVERAGE(RAW_PERFORMANCE!J416,RAW_PERFORMANCE!J417,RAW_PERFORMANCE!J418)</f>
        <v/>
      </c>
      <c r="N144" s="35">
        <f>AVERAGE(RAW_PERFORMANCE!P416,RAW_PERFORMANCE!P417,RAW_PERFORMANCE!P418)</f>
        <v/>
      </c>
      <c r="O144" s="31" t="inlineStr">
        <is>
          <t>COMPLETED DEVELOPMENT</t>
        </is>
      </c>
      <c r="P144" s="31" t="n"/>
    </row>
    <row r="145" ht="24" customHeight="1">
      <c r="A145" s="31" t="inlineStr">
        <is>
          <t>D023__TECO15</t>
        </is>
      </c>
      <c r="B145" s="31" t="inlineStr">
        <is>
          <t>D023</t>
        </is>
      </c>
      <c r="C145" s="31" t="inlineStr">
        <is>
          <t>TECO15</t>
        </is>
      </c>
      <c r="D145" s="47">
        <f>AVERAGE(RAW_PERFORMANCE!F419,RAW_PERFORMANCE!F420,RAW_PERFORMANCE!F421)</f>
        <v/>
      </c>
      <c r="E145" s="47">
        <f>AVERAGE(RAW_PERFORMANCE!G419,RAW_PERFORMANCE!G420,RAW_PERFORMANCE!G421)</f>
        <v/>
      </c>
      <c r="F145" s="47">
        <f>AVERAGE(RAW_PERFORMANCE!H419,RAW_PERFORMANCE!H420,RAW_PERFORMANCE!H421)</f>
        <v/>
      </c>
      <c r="G145" s="47">
        <f>AVERAGE(RAW_PERFORMANCE!I419,RAW_PERFORMANCE!I420,RAW_PERFORMANCE!I421)</f>
        <v/>
      </c>
      <c r="H145" s="48" t="n">
        <v>0</v>
      </c>
      <c r="I145" s="49">
        <f>COUNT(RAW_PERFORMANCE!F419,RAW_PERFORMANCE!F420,RAW_PERFORMANCE!F421)</f>
        <v/>
      </c>
      <c r="J145" s="35">
        <f>AVERAGE(RAW_PERFORMANCE!K419,RAW_PERFORMANCE!K420,RAW_PERFORMANCE!K421)</f>
        <v/>
      </c>
      <c r="K145" s="35">
        <f>AVERAGE(RAW_PERFORMANCE!L419,RAW_PERFORMANCE!L420,RAW_PERFORMANCE!L421)</f>
        <v/>
      </c>
      <c r="L145" s="35">
        <f>AVERAGE(RAW_PERFORMANCE!M419,RAW_PERFORMANCE!M420,RAW_PERFORMANCE!M421)</f>
        <v/>
      </c>
      <c r="M145" s="35">
        <f>AVERAGE(RAW_PERFORMANCE!J419,RAW_PERFORMANCE!J420,RAW_PERFORMANCE!J421)</f>
        <v/>
      </c>
      <c r="N145" s="35">
        <f>AVERAGE(RAW_PERFORMANCE!P419,RAW_PERFORMANCE!P420,RAW_PERFORMANCE!P421)</f>
        <v/>
      </c>
      <c r="O145" s="31" t="inlineStr">
        <is>
          <t>COMPLETED DEVELOPMENT</t>
        </is>
      </c>
      <c r="P145" s="31" t="n"/>
    </row>
    <row r="146" ht="24" customHeight="1">
      <c r="A146" s="31" t="inlineStr">
        <is>
          <t>D024__SP</t>
        </is>
      </c>
      <c r="B146" s="31" t="inlineStr">
        <is>
          <t>D024</t>
        </is>
      </c>
      <c r="C146" s="31" t="inlineStr">
        <is>
          <t>SP</t>
        </is>
      </c>
      <c r="D146" s="47">
        <f>AVERAGE(RAW_PERFORMANCE!F422,RAW_PERFORMANCE!F423,RAW_PERFORMANCE!F424)</f>
        <v/>
      </c>
      <c r="E146" s="47">
        <f>AVERAGE(RAW_PERFORMANCE!G422,RAW_PERFORMANCE!G423,RAW_PERFORMANCE!G424)</f>
        <v/>
      </c>
      <c r="F146" s="47">
        <f>AVERAGE(RAW_PERFORMANCE!H422,RAW_PERFORMANCE!H423,RAW_PERFORMANCE!H424)</f>
        <v/>
      </c>
      <c r="G146" s="47">
        <f>AVERAGE(RAW_PERFORMANCE!I422,RAW_PERFORMANCE!I423,RAW_PERFORMANCE!I424)</f>
        <v/>
      </c>
      <c r="H146" s="48" t="n">
        <v>1</v>
      </c>
      <c r="I146" s="49">
        <f>COUNT(RAW_PERFORMANCE!F422,RAW_PERFORMANCE!F423,RAW_PERFORMANCE!F424)</f>
        <v/>
      </c>
      <c r="J146" s="35">
        <f>AVERAGE(RAW_PERFORMANCE!K422,RAW_PERFORMANCE!K423,RAW_PERFORMANCE!K424)</f>
        <v/>
      </c>
      <c r="K146" s="35">
        <f>AVERAGE(RAW_PERFORMANCE!L422,RAW_PERFORMANCE!L423,RAW_PERFORMANCE!L424)</f>
        <v/>
      </c>
      <c r="L146" s="35">
        <f>AVERAGE(RAW_PERFORMANCE!M422,RAW_PERFORMANCE!M423,RAW_PERFORMANCE!M424)</f>
        <v/>
      </c>
      <c r="M146" s="35">
        <f>AVERAGE(RAW_PERFORMANCE!J422,RAW_PERFORMANCE!J423,RAW_PERFORMANCE!J424)</f>
        <v/>
      </c>
      <c r="N146" s="35">
        <f>AVERAGE(RAW_PERFORMANCE!P422,RAW_PERFORMANCE!P423,RAW_PERFORMANCE!P424)</f>
        <v/>
      </c>
      <c r="O146" s="31" t="inlineStr">
        <is>
          <t>COMPLETED DEVELOPMENT</t>
        </is>
      </c>
      <c r="P146" s="31" t="n"/>
    </row>
    <row r="147" ht="24" customHeight="1">
      <c r="A147" s="31" t="inlineStr">
        <is>
          <t>D024__DTT</t>
        </is>
      </c>
      <c r="B147" s="31" t="inlineStr">
        <is>
          <t>D024</t>
        </is>
      </c>
      <c r="C147" s="31" t="inlineStr">
        <is>
          <t>DTT</t>
        </is>
      </c>
      <c r="D147" s="47">
        <f>AVERAGE(RAW_PERFORMANCE!F425,RAW_PERFORMANCE!F426,RAW_PERFORMANCE!F427)</f>
        <v/>
      </c>
      <c r="E147" s="47">
        <f>AVERAGE(RAW_PERFORMANCE!G425,RAW_PERFORMANCE!G426,RAW_PERFORMANCE!G427)</f>
        <v/>
      </c>
      <c r="F147" s="47">
        <f>AVERAGE(RAW_PERFORMANCE!H425,RAW_PERFORMANCE!H426,RAW_PERFORMANCE!H427)</f>
        <v/>
      </c>
      <c r="G147" s="47">
        <f>AVERAGE(RAW_PERFORMANCE!I425,RAW_PERFORMANCE!I426,RAW_PERFORMANCE!I427)</f>
        <v/>
      </c>
      <c r="H147" s="48" t="n">
        <v>1</v>
      </c>
      <c r="I147" s="49">
        <f>COUNT(RAW_PERFORMANCE!F425,RAW_PERFORMANCE!F426,RAW_PERFORMANCE!F427)</f>
        <v/>
      </c>
      <c r="J147" s="35">
        <f>AVERAGE(RAW_PERFORMANCE!K425,RAW_PERFORMANCE!K426,RAW_PERFORMANCE!K427)</f>
        <v/>
      </c>
      <c r="K147" s="35">
        <f>AVERAGE(RAW_PERFORMANCE!L425,RAW_PERFORMANCE!L426,RAW_PERFORMANCE!L427)</f>
        <v/>
      </c>
      <c r="L147" s="35">
        <f>AVERAGE(RAW_PERFORMANCE!M425,RAW_PERFORMANCE!M426,RAW_PERFORMANCE!M427)</f>
        <v/>
      </c>
      <c r="M147" s="35">
        <f>AVERAGE(RAW_PERFORMANCE!J425,RAW_PERFORMANCE!J426,RAW_PERFORMANCE!J427)</f>
        <v/>
      </c>
      <c r="N147" s="35">
        <f>AVERAGE(RAW_PERFORMANCE!P425,RAW_PERFORMANCE!P426,RAW_PERFORMANCE!P427)</f>
        <v/>
      </c>
      <c r="O147" s="31" t="inlineStr">
        <is>
          <t>COMPLETED DEVELOPMENT</t>
        </is>
      </c>
      <c r="P147" s="31" t="n"/>
    </row>
    <row r="148" ht="24" customHeight="1">
      <c r="A148" s="31" t="inlineStr">
        <is>
          <t>D024__ECO</t>
        </is>
      </c>
      <c r="B148" s="31" t="inlineStr">
        <is>
          <t>D024</t>
        </is>
      </c>
      <c r="C148" s="31" t="inlineStr">
        <is>
          <t>ECO</t>
        </is>
      </c>
      <c r="D148" s="47">
        <f>AVERAGE(RAW_PERFORMANCE!F428,RAW_PERFORMANCE!F429,RAW_PERFORMANCE!F430)</f>
        <v/>
      </c>
      <c r="E148" s="47">
        <f>AVERAGE(RAW_PERFORMANCE!G428,RAW_PERFORMANCE!G429,RAW_PERFORMANCE!G430)</f>
        <v/>
      </c>
      <c r="F148" s="47">
        <f>AVERAGE(RAW_PERFORMANCE!H428,RAW_PERFORMANCE!H429,RAW_PERFORMANCE!H430)</f>
        <v/>
      </c>
      <c r="G148" s="47">
        <f>AVERAGE(RAW_PERFORMANCE!I428,RAW_PERFORMANCE!I429,RAW_PERFORMANCE!I430)</f>
        <v/>
      </c>
      <c r="H148" s="48" t="n">
        <v>1</v>
      </c>
      <c r="I148" s="49">
        <f>COUNT(RAW_PERFORMANCE!F428,RAW_PERFORMANCE!F429,RAW_PERFORMANCE!F430)</f>
        <v/>
      </c>
      <c r="J148" s="35">
        <f>AVERAGE(RAW_PERFORMANCE!K428,RAW_PERFORMANCE!K429,RAW_PERFORMANCE!K430)</f>
        <v/>
      </c>
      <c r="K148" s="35">
        <f>AVERAGE(RAW_PERFORMANCE!L428,RAW_PERFORMANCE!L429,RAW_PERFORMANCE!L430)</f>
        <v/>
      </c>
      <c r="L148" s="35">
        <f>AVERAGE(RAW_PERFORMANCE!M428,RAW_PERFORMANCE!M429,RAW_PERFORMANCE!M430)</f>
        <v/>
      </c>
      <c r="M148" s="35">
        <f>AVERAGE(RAW_PERFORMANCE!J428,RAW_PERFORMANCE!J429,RAW_PERFORMANCE!J430)</f>
        <v/>
      </c>
      <c r="N148" s="35">
        <f>AVERAGE(RAW_PERFORMANCE!P428,RAW_PERFORMANCE!P429,RAW_PERFORMANCE!P430)</f>
        <v/>
      </c>
      <c r="O148" s="31" t="inlineStr">
        <is>
          <t>COMPLETED DEVELOPMENT</t>
        </is>
      </c>
      <c r="P148" s="31" t="n"/>
    </row>
    <row r="149" ht="24" customHeight="1">
      <c r="A149" s="31" t="inlineStr">
        <is>
          <t>D024__TECO05</t>
        </is>
      </c>
      <c r="B149" s="31" t="inlineStr">
        <is>
          <t>D024</t>
        </is>
      </c>
      <c r="C149" s="31" t="inlineStr">
        <is>
          <t>TECO05</t>
        </is>
      </c>
      <c r="D149" s="47">
        <f>AVERAGE(RAW_PERFORMANCE!F431,RAW_PERFORMANCE!F432,RAW_PERFORMANCE!F433)</f>
        <v/>
      </c>
      <c r="E149" s="47">
        <f>AVERAGE(RAW_PERFORMANCE!G431,RAW_PERFORMANCE!G432,RAW_PERFORMANCE!G433)</f>
        <v/>
      </c>
      <c r="F149" s="47">
        <f>AVERAGE(RAW_PERFORMANCE!H431,RAW_PERFORMANCE!H432,RAW_PERFORMANCE!H433)</f>
        <v/>
      </c>
      <c r="G149" s="47">
        <f>AVERAGE(RAW_PERFORMANCE!I431,RAW_PERFORMANCE!I432,RAW_PERFORMANCE!I433)</f>
        <v/>
      </c>
      <c r="H149" s="48" t="n">
        <v>0</v>
      </c>
      <c r="I149" s="49">
        <f>COUNT(RAW_PERFORMANCE!F431,RAW_PERFORMANCE!F432,RAW_PERFORMANCE!F433)</f>
        <v/>
      </c>
      <c r="J149" s="35">
        <f>AVERAGE(RAW_PERFORMANCE!K431,RAW_PERFORMANCE!K432,RAW_PERFORMANCE!K433)</f>
        <v/>
      </c>
      <c r="K149" s="35">
        <f>AVERAGE(RAW_PERFORMANCE!L431,RAW_PERFORMANCE!L432,RAW_PERFORMANCE!L433)</f>
        <v/>
      </c>
      <c r="L149" s="35">
        <f>AVERAGE(RAW_PERFORMANCE!M431,RAW_PERFORMANCE!M432,RAW_PERFORMANCE!M433)</f>
        <v/>
      </c>
      <c r="M149" s="35">
        <f>AVERAGE(RAW_PERFORMANCE!J431,RAW_PERFORMANCE!J432,RAW_PERFORMANCE!J433)</f>
        <v/>
      </c>
      <c r="N149" s="35">
        <f>AVERAGE(RAW_PERFORMANCE!P431,RAW_PERFORMANCE!P432,RAW_PERFORMANCE!P433)</f>
        <v/>
      </c>
      <c r="O149" s="31" t="inlineStr">
        <is>
          <t>COMPLETED DEVELOPMENT</t>
        </is>
      </c>
      <c r="P149" s="31" t="n"/>
    </row>
    <row r="150" ht="24" customHeight="1">
      <c r="A150" s="31" t="inlineStr">
        <is>
          <t>D024__TECO10</t>
        </is>
      </c>
      <c r="B150" s="31" t="inlineStr">
        <is>
          <t>D024</t>
        </is>
      </c>
      <c r="C150" s="31" t="inlineStr">
        <is>
          <t>TECO10</t>
        </is>
      </c>
      <c r="D150" s="47">
        <f>AVERAGE(RAW_PERFORMANCE!F434,RAW_PERFORMANCE!F435,RAW_PERFORMANCE!F436)</f>
        <v/>
      </c>
      <c r="E150" s="47">
        <f>AVERAGE(RAW_PERFORMANCE!G434,RAW_PERFORMANCE!G435,RAW_PERFORMANCE!G436)</f>
        <v/>
      </c>
      <c r="F150" s="47">
        <f>AVERAGE(RAW_PERFORMANCE!H434,RAW_PERFORMANCE!H435,RAW_PERFORMANCE!H436)</f>
        <v/>
      </c>
      <c r="G150" s="47">
        <f>AVERAGE(RAW_PERFORMANCE!I434,RAW_PERFORMANCE!I435,RAW_PERFORMANCE!I436)</f>
        <v/>
      </c>
      <c r="H150" s="48" t="n">
        <v>1</v>
      </c>
      <c r="I150" s="49">
        <f>COUNT(RAW_PERFORMANCE!F434,RAW_PERFORMANCE!F435,RAW_PERFORMANCE!F436)</f>
        <v/>
      </c>
      <c r="J150" s="35">
        <f>AVERAGE(RAW_PERFORMANCE!K434,RAW_PERFORMANCE!K435,RAW_PERFORMANCE!K436)</f>
        <v/>
      </c>
      <c r="K150" s="35">
        <f>AVERAGE(RAW_PERFORMANCE!L434,RAW_PERFORMANCE!L435,RAW_PERFORMANCE!L436)</f>
        <v/>
      </c>
      <c r="L150" s="35">
        <f>AVERAGE(RAW_PERFORMANCE!M434,RAW_PERFORMANCE!M435,RAW_PERFORMANCE!M436)</f>
        <v/>
      </c>
      <c r="M150" s="35">
        <f>AVERAGE(RAW_PERFORMANCE!J434,RAW_PERFORMANCE!J435,RAW_PERFORMANCE!J436)</f>
        <v/>
      </c>
      <c r="N150" s="35">
        <f>AVERAGE(RAW_PERFORMANCE!P434,RAW_PERFORMANCE!P435,RAW_PERFORMANCE!P436)</f>
        <v/>
      </c>
      <c r="O150" s="31" t="inlineStr">
        <is>
          <t>COMPLETED DEVELOPMENT</t>
        </is>
      </c>
      <c r="P150" s="31" t="n"/>
    </row>
    <row r="151" ht="24" customHeight="1">
      <c r="A151" s="31" t="inlineStr">
        <is>
          <t>D024__TECO15</t>
        </is>
      </c>
      <c r="B151" s="31" t="inlineStr">
        <is>
          <t>D024</t>
        </is>
      </c>
      <c r="C151" s="31" t="inlineStr">
        <is>
          <t>TECO15</t>
        </is>
      </c>
      <c r="D151" s="47">
        <f>AVERAGE(RAW_PERFORMANCE!F437,RAW_PERFORMANCE!F438,RAW_PERFORMANCE!F439)</f>
        <v/>
      </c>
      <c r="E151" s="47">
        <f>AVERAGE(RAW_PERFORMANCE!G437,RAW_PERFORMANCE!G438,RAW_PERFORMANCE!G439)</f>
        <v/>
      </c>
      <c r="F151" s="47">
        <f>AVERAGE(RAW_PERFORMANCE!H437,RAW_PERFORMANCE!H438,RAW_PERFORMANCE!H439)</f>
        <v/>
      </c>
      <c r="G151" s="47">
        <f>AVERAGE(RAW_PERFORMANCE!I437,RAW_PERFORMANCE!I438,RAW_PERFORMANCE!I439)</f>
        <v/>
      </c>
      <c r="H151" s="48" t="n">
        <v>0</v>
      </c>
      <c r="I151" s="49">
        <f>COUNT(RAW_PERFORMANCE!F437,RAW_PERFORMANCE!F438,RAW_PERFORMANCE!F439)</f>
        <v/>
      </c>
      <c r="J151" s="35">
        <f>AVERAGE(RAW_PERFORMANCE!K437,RAW_PERFORMANCE!K438,RAW_PERFORMANCE!K439)</f>
        <v/>
      </c>
      <c r="K151" s="35">
        <f>AVERAGE(RAW_PERFORMANCE!L437,RAW_PERFORMANCE!L438,RAW_PERFORMANCE!L439)</f>
        <v/>
      </c>
      <c r="L151" s="35">
        <f>AVERAGE(RAW_PERFORMANCE!M437,RAW_PERFORMANCE!M438,RAW_PERFORMANCE!M439)</f>
        <v/>
      </c>
      <c r="M151" s="35">
        <f>AVERAGE(RAW_PERFORMANCE!J437,RAW_PERFORMANCE!J438,RAW_PERFORMANCE!J439)</f>
        <v/>
      </c>
      <c r="N151" s="35">
        <f>AVERAGE(RAW_PERFORMANCE!P437,RAW_PERFORMANCE!P438,RAW_PERFORMANCE!P439)</f>
        <v/>
      </c>
      <c r="O151" s="31" t="inlineStr">
        <is>
          <t>COMPLETED DEVELOPMENT</t>
        </is>
      </c>
      <c r="P151" s="31" t="n"/>
    </row>
    <row r="152" ht="24" customHeight="1">
      <c r="A152" s="31" t="n"/>
      <c r="B152" s="31" t="n"/>
      <c r="C152" s="31" t="n"/>
      <c r="D152" s="31" t="n"/>
      <c r="E152" s="31" t="n"/>
      <c r="F152" s="31" t="n"/>
      <c r="G152" s="31" t="n"/>
      <c r="H152" s="31" t="n"/>
      <c r="I152" s="31" t="n"/>
      <c r="J152" s="31" t="n"/>
      <c r="K152" s="31" t="n"/>
      <c r="L152" s="31" t="n"/>
      <c r="M152" s="31" t="n"/>
      <c r="N152" s="31" t="n"/>
      <c r="O152" s="31" t="n"/>
      <c r="P152" s="31" t="n"/>
    </row>
    <row r="153" ht="24" customHeight="1">
      <c r="A153" s="31" t="n"/>
      <c r="B153" s="31" t="n"/>
      <c r="C153" s="31" t="n"/>
      <c r="D153" s="31" t="n"/>
      <c r="E153" s="31" t="n"/>
      <c r="F153" s="31" t="n"/>
      <c r="G153" s="31" t="n"/>
      <c r="H153" s="31" t="n"/>
      <c r="I153" s="31" t="n"/>
      <c r="J153" s="31" t="n"/>
      <c r="K153" s="31" t="n"/>
      <c r="L153" s="31" t="n"/>
      <c r="M153" s="31" t="n"/>
      <c r="N153" s="31" t="n"/>
      <c r="O153" s="31" t="n"/>
      <c r="P153" s="31" t="n"/>
    </row>
    <row r="154" ht="24" customHeight="1">
      <c r="A154" s="31" t="n"/>
      <c r="B154" s="31" t="n"/>
      <c r="C154" s="31" t="n"/>
      <c r="D154" s="31" t="n"/>
      <c r="E154" s="31" t="n"/>
      <c r="F154" s="31" t="n"/>
      <c r="G154" s="31" t="n"/>
      <c r="H154" s="31" t="n"/>
      <c r="I154" s="31" t="n"/>
      <c r="J154" s="31" t="n"/>
      <c r="K154" s="31" t="n"/>
      <c r="L154" s="31" t="n"/>
      <c r="M154" s="31" t="n"/>
      <c r="N154" s="31" t="n"/>
      <c r="O154" s="31" t="n"/>
      <c r="P154" s="31" t="n"/>
    </row>
    <row r="155" ht="24" customHeight="1">
      <c r="A155" s="31" t="n"/>
      <c r="B155" s="31" t="n"/>
      <c r="C155" s="31" t="n"/>
      <c r="D155" s="31" t="n"/>
      <c r="E155" s="31" t="n"/>
      <c r="F155" s="31" t="n"/>
      <c r="G155" s="31" t="n"/>
      <c r="H155" s="31" t="n"/>
      <c r="I155" s="31" t="n"/>
      <c r="J155" s="31" t="n"/>
      <c r="K155" s="31" t="n"/>
      <c r="L155" s="31" t="n"/>
      <c r="M155" s="31" t="n"/>
      <c r="N155" s="31" t="n"/>
      <c r="O155" s="31" t="n"/>
      <c r="P155" s="31" t="n"/>
    </row>
    <row r="156" ht="24" customHeight="1">
      <c r="A156" s="31" t="n"/>
      <c r="B156" s="31" t="n"/>
      <c r="C156" s="31" t="n"/>
      <c r="D156" s="31" t="n"/>
      <c r="E156" s="31" t="n"/>
      <c r="F156" s="31" t="n"/>
      <c r="G156" s="31" t="n"/>
      <c r="H156" s="31" t="n"/>
      <c r="I156" s="31" t="n"/>
      <c r="J156" s="31" t="n"/>
      <c r="K156" s="31" t="n"/>
      <c r="L156" s="31" t="n"/>
      <c r="M156" s="31" t="n"/>
      <c r="N156" s="31" t="n"/>
      <c r="O156" s="31" t="n"/>
      <c r="P156" s="31" t="n"/>
    </row>
    <row r="157" ht="24" customHeight="1">
      <c r="A157" s="31" t="n"/>
      <c r="B157" s="31" t="n"/>
      <c r="C157" s="31" t="n"/>
      <c r="D157" s="31" t="n"/>
      <c r="E157" s="31" t="n"/>
      <c r="F157" s="31" t="n"/>
      <c r="G157" s="31" t="n"/>
      <c r="H157" s="31" t="n"/>
      <c r="I157" s="31" t="n"/>
      <c r="J157" s="31" t="n"/>
      <c r="K157" s="31" t="n"/>
      <c r="L157" s="31" t="n"/>
      <c r="M157" s="31" t="n"/>
      <c r="N157" s="31" t="n"/>
      <c r="O157" s="31" t="n"/>
      <c r="P157" s="3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4"/>
  <sheetViews>
    <sheetView showGridLines="0" workbookViewId="0">
      <pane xSplit="1" ySplit="7" topLeftCell="B8" activePane="bottomRight" state="frozen"/>
      <selection activeCell="A1" sqref="A1"/>
    </sheetView>
  </sheetViews>
  <sheetFormatPr baseColWidth="8" defaultRowHeight="15"/>
  <cols>
    <col width="41" customWidth="1" min="1" max="1"/>
    <col width="28" customWidth="1" min="2" max="2"/>
    <col width="42" customWidth="1" min="3" max="3"/>
    <col width="29" customWidth="1" min="4" max="4"/>
    <col width="64" customWidth="1" min="5" max="5"/>
    <col width="28" customWidth="1" min="6" max="6"/>
    <col width="24" customWidth="1" min="7" max="7"/>
    <col width="25" customWidth="1" min="8" max="8"/>
  </cols>
  <sheetData>
    <row r="1" ht="24" customHeight="1">
      <c r="A1" s="31" t="n"/>
      <c r="B1" s="31" t="n"/>
      <c r="C1" s="31" t="n"/>
      <c r="D1" s="31" t="n"/>
      <c r="E1" s="31" t="n"/>
      <c r="F1" s="31" t="n"/>
      <c r="G1" s="31" t="n"/>
      <c r="H1" s="31" t="n"/>
    </row>
    <row r="2" ht="24" customHeight="1">
      <c r="A2" s="3" t="inlineStr">
        <is>
          <t>Scientific gates: accounting passes, route ordering fails</t>
        </is>
      </c>
      <c r="B2" s="31" t="n"/>
      <c r="C2" s="31" t="n"/>
      <c r="D2" s="31" t="n"/>
      <c r="E2" s="31" t="n"/>
      <c r="F2" s="31" t="n"/>
      <c r="G2" s="31" t="n"/>
      <c r="H2" s="31" t="n"/>
    </row>
    <row r="3" ht="24" customHeight="1">
      <c r="A3" s="31" t="n"/>
      <c r="B3" s="31" t="n"/>
      <c r="C3" s="31" t="n"/>
      <c r="D3" s="31" t="n"/>
      <c r="E3" s="31" t="n"/>
      <c r="F3" s="31" t="n"/>
      <c r="G3" s="31" t="n"/>
      <c r="H3" s="31" t="n"/>
    </row>
    <row r="4" ht="24" customHeight="1">
      <c r="A4" s="4" t="inlineStr">
        <is>
          <t>Every gate distinguishes computational correctness from decision usefulness. No failed gate is hidden.</t>
        </is>
      </c>
      <c r="B4" s="31" t="n"/>
      <c r="C4" s="31" t="n"/>
      <c r="D4" s="31" t="n"/>
      <c r="E4" s="31" t="n"/>
      <c r="F4" s="31" t="n"/>
      <c r="G4" s="31" t="n"/>
      <c r="H4" s="31" t="n"/>
    </row>
    <row r="5" ht="24" customHeight="1">
      <c r="A5" s="31" t="n"/>
      <c r="B5" s="31" t="n"/>
      <c r="C5" s="31" t="n"/>
      <c r="D5" s="31" t="n"/>
      <c r="E5" s="31" t="n"/>
      <c r="F5" s="31" t="n"/>
      <c r="G5" s="31" t="n"/>
      <c r="H5" s="31" t="n"/>
    </row>
    <row r="6" ht="24" customHeight="1">
      <c r="A6" s="31" t="n"/>
      <c r="B6" s="31" t="n"/>
      <c r="C6" s="31" t="n"/>
      <c r="D6" s="31" t="n"/>
      <c r="E6" s="31" t="n"/>
      <c r="F6" s="31" t="n"/>
      <c r="G6" s="31" t="n"/>
      <c r="H6" s="31" t="n"/>
    </row>
    <row r="7" ht="38" customHeight="1">
      <c r="A7" s="7" t="inlineStr">
        <is>
          <t>Check</t>
        </is>
      </c>
      <c r="B7" s="7" t="inlineStr">
        <is>
          <t>Observed value</t>
        </is>
      </c>
      <c r="C7" s="7" t="inlineStr">
        <is>
          <t>Criterion / comparison</t>
        </is>
      </c>
      <c r="D7" s="7" t="inlineStr">
        <is>
          <t>Status</t>
        </is>
      </c>
      <c r="E7" s="7" t="inlineStr">
        <is>
          <t>Interpretation</t>
        </is>
      </c>
      <c r="F7" s="31" t="n"/>
      <c r="G7" s="31" t="n"/>
      <c r="H7" s="31" t="n"/>
    </row>
    <row r="8" ht="43" customHeight="1">
      <c r="A8" s="31" t="inlineStr">
        <is>
          <t>Development valid runs</t>
        </is>
      </c>
      <c r="B8" s="31" t="n">
        <v>432</v>
      </c>
      <c r="C8" s="8" t="n">
        <v>432</v>
      </c>
      <c r="D8" s="8" t="inlineStr">
        <is>
          <t>PASS</t>
        </is>
      </c>
      <c r="E8" s="8" t="inlineStr">
        <is>
          <t>24 contexts x6 settings x3 seeds</t>
        </is>
      </c>
      <c r="F8" s="31" t="n"/>
      <c r="G8" s="31" t="n"/>
      <c r="H8" s="31" t="n"/>
    </row>
    <row r="9" ht="43" customHeight="1">
      <c r="A9" s="31" t="inlineStr">
        <is>
          <t>Probe valid runs</t>
        </is>
      </c>
      <c r="B9" s="31" t="n">
        <v>232</v>
      </c>
      <c r="C9" s="8" t="n">
        <v>232</v>
      </c>
      <c r="D9" s="8" t="inlineStr">
        <is>
          <t>PASS</t>
        </is>
      </c>
      <c r="E9" s="8" t="inlineStr">
        <is>
          <t>4 contexts x2 seeds x29 routes</t>
        </is>
      </c>
      <c r="F9" s="31" t="n"/>
      <c r="G9" s="31" t="n"/>
      <c r="H9" s="31" t="n"/>
    </row>
    <row r="10" ht="43" customHeight="1">
      <c r="A10" s="31" t="inlineStr">
        <is>
          <t>Development max mass discrepancy</t>
        </is>
      </c>
      <c r="B10" s="31" t="n">
        <v>0.0016944688611323</v>
      </c>
      <c r="C10" s="8" t="n">
        <v>0.01</v>
      </c>
      <c r="D10" s="8" t="inlineStr">
        <is>
          <t>PASS</t>
        </is>
      </c>
      <c r="E10" s="8" t="inlineStr">
        <is>
          <t>Native edge mass vs trip accumulated mass</t>
        </is>
      </c>
      <c r="F10" s="31" t="n"/>
      <c r="G10" s="31" t="n"/>
      <c r="H10" s="31" t="n"/>
    </row>
    <row r="11" ht="43" customHeight="1">
      <c r="A11" s="31" t="inlineStr">
        <is>
          <t>Native algebra max relative error</t>
        </is>
      </c>
      <c r="B11" s="31" t="n">
        <v>6.94499907908663e-07</v>
      </c>
      <c r="C11" s="8" t="n">
        <v>0.0001</v>
      </c>
      <c r="D11" s="8" t="inlineStr">
        <is>
          <t>PASS</t>
        </is>
      </c>
      <c r="E11" s="8" t="inlineStr">
        <is>
          <t>mg / vehicle-seconds × time</t>
        </is>
      </c>
      <c r="F11" s="31" t="n"/>
      <c r="G11" s="31" t="n"/>
      <c r="H11" s="31" t="n"/>
    </row>
    <row r="12" ht="43" customHeight="1">
      <c r="A12" s="31" t="inlineStr">
        <is>
          <t>Selected-path CO2 WAPE</t>
        </is>
      </c>
      <c r="B12" s="31" t="n">
        <v>0.1471192419244985</v>
      </c>
      <c r="C12" s="8" t="n">
        <v>0.25</v>
      </c>
      <c r="D12" s="8" t="inlineStr">
        <is>
          <t>PASS</t>
        </is>
      </c>
      <c r="E12" s="8" t="inlineStr">
        <is>
          <t>Trip-weighted forecast screening</t>
        </is>
      </c>
      <c r="F12" s="31" t="n"/>
      <c r="G12" s="31" t="n"/>
      <c r="H12" s="31" t="n"/>
    </row>
    <row r="13" ht="43" customHeight="1">
      <c r="A13" s="31" t="inlineStr">
        <is>
          <t>Selected-path signed bias</t>
        </is>
      </c>
      <c r="B13" s="31" t="n">
        <v>-0.003151579968736426</v>
      </c>
      <c r="C13" s="8" t="n">
        <v>0.1</v>
      </c>
      <c r="D13" s="8" t="inlineStr">
        <is>
          <t>PASS</t>
        </is>
      </c>
      <c r="E13" s="8" t="inlineStr">
        <is>
          <t>Absolute bias criterion</t>
        </is>
      </c>
      <c r="F13" s="31" t="n"/>
      <c r="G13" s="31" t="n"/>
      <c r="H13" s="31" t="n"/>
    </row>
    <row r="14" ht="43" customHeight="1">
      <c r="A14" s="31" t="inlineStr">
        <is>
          <t>Probe median route Spearman</t>
        </is>
      </c>
      <c r="B14" s="31" t="n">
        <v>0.5357142857142856</v>
      </c>
      <c r="C14" s="8" t="n">
        <v>0.5</v>
      </c>
      <c r="D14" s="8" t="inlineStr">
        <is>
          <t>PASS</t>
        </is>
      </c>
      <c r="E14" s="8" t="inlineStr">
        <is>
          <t>Eight route-order panels</t>
        </is>
      </c>
      <c r="F14" s="31" t="n"/>
      <c r="G14" s="31" t="n"/>
      <c r="H14" s="31" t="n"/>
    </row>
    <row r="15" ht="43" customHeight="1">
      <c r="A15" s="31" t="inlineStr">
        <is>
          <t>Probe mean relative selection loss</t>
        </is>
      </c>
      <c r="B15" s="31" t="n">
        <v>0.2162088588809636</v>
      </c>
      <c r="C15" s="8" t="n">
        <v>0.1</v>
      </c>
      <c r="D15" s="8" t="inlineStr">
        <is>
          <t>FAIL — MODIFY</t>
        </is>
      </c>
      <c r="E15" s="8" t="inlineStr">
        <is>
          <t>Good average error did not ensure good choices</t>
        </is>
      </c>
      <c r="F15" s="31" t="n"/>
      <c r="G15" s="31" t="n"/>
      <c r="H15" s="31" t="n"/>
    </row>
    <row r="16" ht="43" customHeight="1">
      <c r="A16" s="31" t="inlineStr">
        <is>
          <t>Unchanged original-route replay</t>
        </is>
      </c>
      <c r="B16" s="31" t="n">
        <v>8</v>
      </c>
      <c r="C16" s="8" t="n">
        <v>8</v>
      </c>
      <c r="D16" s="8" t="inlineStr">
        <is>
          <t>PASS</t>
        </is>
      </c>
      <c r="E16" s="8" t="inlineStr">
        <is>
          <t>Exact seconds / within1e-6g</t>
        </is>
      </c>
      <c r="F16" s="31" t="n"/>
      <c r="G16" s="31" t="n"/>
      <c r="H16" s="31" t="n"/>
    </row>
    <row r="17" ht="43" customHeight="1">
      <c r="A17" s="31" t="inlineStr">
        <is>
          <t>New main experiment runs</t>
        </is>
      </c>
      <c r="B17" s="31" t="n">
        <v>0</v>
      </c>
      <c r="C17" s="8" t="inlineStr">
        <is>
          <t>Scientific release blocked</t>
        </is>
      </c>
      <c r="D17" s="8" t="inlineStr">
        <is>
          <t>NOT RUN</t>
        </is>
      </c>
      <c r="E17" s="8" t="inlineStr">
        <is>
          <t>Not omitted or fabricated results</t>
        </is>
      </c>
      <c r="F17" s="31" t="n"/>
      <c r="G17" s="31" t="n"/>
      <c r="H17" s="31" t="n"/>
    </row>
    <row r="18" ht="43" customHeight="1">
      <c r="A18" s="31" t="inlineStr">
        <is>
          <t>New ML fitted</t>
        </is>
      </c>
      <c r="B18" s="31" t="n">
        <v>0</v>
      </c>
      <c r="C18" s="8" t="inlineStr">
        <is>
          <t>Scientific release blocked</t>
        </is>
      </c>
      <c r="D18" s="8" t="inlineStr">
        <is>
          <t>NOT FITTED</t>
        </is>
      </c>
      <c r="E18" s="8" t="inlineStr">
        <is>
          <t>No test performance claimed</t>
        </is>
      </c>
      <c r="F18" s="31" t="n"/>
      <c r="G18" s="31" t="n"/>
      <c r="H18" s="31" t="n"/>
    </row>
    <row r="19" ht="24" customHeight="1">
      <c r="A19" s="31" t="n"/>
      <c r="B19" s="31" t="n"/>
      <c r="C19" s="31" t="n"/>
      <c r="D19" s="31" t="n"/>
      <c r="E19" s="31" t="n"/>
      <c r="F19" s="31" t="n"/>
      <c r="G19" s="31" t="n"/>
      <c r="H19" s="31" t="n"/>
    </row>
    <row r="20" ht="24" customHeight="1">
      <c r="A20" s="31" t="n"/>
      <c r="B20" s="31" t="n"/>
      <c r="C20" s="31" t="n"/>
      <c r="D20" s="31" t="n"/>
      <c r="E20" s="31" t="n"/>
      <c r="F20" s="31" t="n"/>
      <c r="G20" s="31" t="n"/>
      <c r="H20" s="31" t="n"/>
    </row>
    <row r="21" ht="24" customHeight="1">
      <c r="A21" s="31" t="n"/>
      <c r="B21" s="31" t="n"/>
      <c r="C21" s="31" t="n"/>
      <c r="D21" s="31" t="n"/>
      <c r="E21" s="31" t="n"/>
      <c r="F21" s="31" t="n"/>
      <c r="G21" s="31" t="n"/>
      <c r="H21" s="31" t="n"/>
    </row>
    <row r="22" ht="24" customHeight="1">
      <c r="A22" s="31" t="n"/>
      <c r="B22" s="31" t="n"/>
      <c r="C22" s="31" t="n"/>
      <c r="D22" s="31" t="n"/>
      <c r="E22" s="31" t="n"/>
      <c r="F22" s="31" t="n"/>
      <c r="G22" s="31" t="n"/>
      <c r="H22" s="31" t="n"/>
    </row>
    <row r="23" ht="38" customHeight="1">
      <c r="A23" s="7" t="inlineStr">
        <is>
          <t>Probe context</t>
        </is>
      </c>
      <c r="B23" s="7" t="inlineStr">
        <is>
          <t>Seed</t>
        </is>
      </c>
      <c r="C23" s="7" t="inlineStr">
        <is>
          <t>Rank correlation</t>
        </is>
      </c>
      <c r="D23" s="7" t="inlineStr">
        <is>
          <t>CO2 choice loss</t>
        </is>
      </c>
      <c r="E23" s="7" t="inlineStr">
        <is>
          <t>Predicted-best route</t>
        </is>
      </c>
      <c r="F23" s="7" t="inlineStr">
        <is>
          <t>Observed-best route</t>
        </is>
      </c>
      <c r="G23" s="7" t="inlineStr">
        <is>
          <t>Replay exact?</t>
        </is>
      </c>
      <c r="H23" s="31" t="n"/>
    </row>
    <row r="24" ht="24" customHeight="1">
      <c r="A24" s="31" t="inlineStr">
        <is>
          <t>D001</t>
        </is>
      </c>
      <c r="B24" s="31" t="n">
        <v>8101</v>
      </c>
      <c r="C24" s="42" t="n">
        <v>0.5182266009852216</v>
      </c>
      <c r="D24" s="42" t="n">
        <v>0.2160506003548822</v>
      </c>
      <c r="E24" s="31" t="inlineStr">
        <is>
          <t>P19</t>
        </is>
      </c>
      <c r="F24" s="31" t="inlineStr">
        <is>
          <t>P20</t>
        </is>
      </c>
      <c r="G24" s="31" t="b">
        <v>1</v>
      </c>
      <c r="H24" s="31" t="n"/>
    </row>
    <row r="25" ht="24" customHeight="1">
      <c r="A25" s="31" t="inlineStr">
        <is>
          <t>D001</t>
        </is>
      </c>
      <c r="B25" s="31" t="n">
        <v>8102</v>
      </c>
      <c r="C25" s="42" t="n">
        <v>0.5635467980295564</v>
      </c>
      <c r="D25" s="42" t="n">
        <v>0.05602408404048877</v>
      </c>
      <c r="E25" s="31" t="inlineStr">
        <is>
          <t>P19</t>
        </is>
      </c>
      <c r="F25" s="31" t="inlineStr">
        <is>
          <t>P17</t>
        </is>
      </c>
      <c r="G25" s="31" t="b">
        <v>1</v>
      </c>
      <c r="H25" s="31" t="n"/>
    </row>
    <row r="26" ht="24" customHeight="1">
      <c r="A26" s="31" t="inlineStr">
        <is>
          <t>D006</t>
        </is>
      </c>
      <c r="B26" s="31" t="n">
        <v>8101</v>
      </c>
      <c r="C26" s="42" t="n">
        <v>0.5773399014778323</v>
      </c>
      <c r="D26" s="42" t="n">
        <v>0</v>
      </c>
      <c r="E26" s="31" t="inlineStr">
        <is>
          <t>P01</t>
        </is>
      </c>
      <c r="F26" s="31" t="inlineStr">
        <is>
          <t>P01</t>
        </is>
      </c>
      <c r="G26" s="31" t="b">
        <v>1</v>
      </c>
      <c r="H26" s="31" t="n"/>
    </row>
    <row r="27" ht="24" customHeight="1">
      <c r="A27" s="31" t="inlineStr">
        <is>
          <t>D006</t>
        </is>
      </c>
      <c r="B27" s="31" t="n">
        <v>8102</v>
      </c>
      <c r="C27" s="42" t="n">
        <v>0.489655172413793</v>
      </c>
      <c r="D27" s="42" t="n">
        <v>0.7816093256872971</v>
      </c>
      <c r="E27" s="31" t="inlineStr">
        <is>
          <t>P19</t>
        </is>
      </c>
      <c r="F27" s="31" t="inlineStr">
        <is>
          <t>P01</t>
        </is>
      </c>
      <c r="G27" s="31" t="b">
        <v>1</v>
      </c>
      <c r="H27" s="31" t="n"/>
    </row>
    <row r="28" ht="24" customHeight="1">
      <c r="A28" s="31" t="inlineStr">
        <is>
          <t>D017</t>
        </is>
      </c>
      <c r="B28" s="31" t="n">
        <v>8101</v>
      </c>
      <c r="C28" s="42" t="n">
        <v>-0.09802955665024629</v>
      </c>
      <c r="D28" s="42" t="n">
        <v>0.4413673190668461</v>
      </c>
      <c r="E28" s="31" t="inlineStr">
        <is>
          <t>P01</t>
        </is>
      </c>
      <c r="F28" s="31" t="inlineStr">
        <is>
          <t>P29</t>
        </is>
      </c>
      <c r="G28" s="31" t="b">
        <v>1</v>
      </c>
      <c r="H28" s="31" t="n"/>
    </row>
    <row r="29" ht="24" customHeight="1">
      <c r="A29" s="31" t="inlineStr">
        <is>
          <t>D017</t>
        </is>
      </c>
      <c r="B29" s="31" t="n">
        <v>8102</v>
      </c>
      <c r="C29" s="42" t="n">
        <v>0.1605911330049261</v>
      </c>
      <c r="D29" s="42" t="n">
        <v>0.2346195418981945</v>
      </c>
      <c r="E29" s="31" t="inlineStr">
        <is>
          <t>P01</t>
        </is>
      </c>
      <c r="F29" s="31" t="inlineStr">
        <is>
          <t>P29</t>
        </is>
      </c>
      <c r="G29" s="31" t="b">
        <v>1</v>
      </c>
      <c r="H29" s="31" t="n"/>
    </row>
    <row r="30" ht="24" customHeight="1">
      <c r="A30" s="31" t="inlineStr">
        <is>
          <t>D022</t>
        </is>
      </c>
      <c r="B30" s="31" t="n">
        <v>8101</v>
      </c>
      <c r="C30" s="42" t="n">
        <v>0.5532019704433496</v>
      </c>
      <c r="D30" s="42" t="n">
        <v>0</v>
      </c>
      <c r="E30" s="31" t="inlineStr">
        <is>
          <t>P01</t>
        </is>
      </c>
      <c r="F30" s="31" t="inlineStr">
        <is>
          <t>P01</t>
        </is>
      </c>
      <c r="G30" s="31" t="b">
        <v>1</v>
      </c>
      <c r="H30" s="31" t="n"/>
    </row>
    <row r="31" ht="24" customHeight="1">
      <c r="A31" s="31" t="inlineStr">
        <is>
          <t>D022</t>
        </is>
      </c>
      <c r="B31" s="31" t="n">
        <v>8102</v>
      </c>
      <c r="C31" s="42" t="n">
        <v>0.6068965517241378</v>
      </c>
      <c r="D31" s="42" t="n">
        <v>0</v>
      </c>
      <c r="E31" s="31" t="inlineStr">
        <is>
          <t>P01</t>
        </is>
      </c>
      <c r="F31" s="31" t="inlineStr">
        <is>
          <t>P01</t>
        </is>
      </c>
      <c r="G31" s="31" t="b">
        <v>1</v>
      </c>
      <c r="H31" s="31" t="n"/>
    </row>
    <row r="32" ht="24" customHeight="1">
      <c r="A32" s="31" t="n"/>
      <c r="B32" s="31" t="n"/>
      <c r="C32" s="31" t="n"/>
      <c r="D32" s="31" t="n"/>
      <c r="E32" s="31" t="n"/>
      <c r="F32" s="31" t="n"/>
      <c r="G32" s="31" t="n"/>
      <c r="H32" s="31" t="n"/>
    </row>
    <row r="33" ht="24" customHeight="1">
      <c r="A33" s="31" t="n"/>
      <c r="B33" s="31" t="n"/>
      <c r="C33" s="31" t="n"/>
      <c r="D33" s="31" t="n"/>
      <c r="E33" s="31" t="n"/>
      <c r="F33" s="31" t="n"/>
      <c r="G33" s="31" t="n"/>
      <c r="H33" s="31" t="n"/>
    </row>
    <row r="34" ht="24" customHeight="1">
      <c r="A34" s="31" t="n"/>
      <c r="B34" s="31" t="n"/>
      <c r="C34" s="31" t="n"/>
      <c r="D34" s="31" t="n"/>
      <c r="E34" s="31" t="n"/>
      <c r="F34" s="31" t="n"/>
      <c r="G34" s="31" t="n"/>
      <c r="H34" s="31" t="n"/>
    </row>
    <row r="35" ht="38" customHeight="1">
      <c r="A35" s="7" t="inlineStr">
        <is>
          <t>Forecast baseline</t>
        </is>
      </c>
      <c r="B35" s="7" t="inlineStr">
        <is>
          <t>N matched trips</t>
        </is>
      </c>
      <c r="C35" s="7" t="inlineStr">
        <is>
          <t>MAE (g)</t>
        </is>
      </c>
      <c r="D35" s="7" t="inlineStr">
        <is>
          <t>RMSE (g)</t>
        </is>
      </c>
      <c r="E35" s="7" t="inlineStr">
        <is>
          <t>WAPE</t>
        </is>
      </c>
      <c r="F35" s="7" t="inlineStr">
        <is>
          <t>Signed bias</t>
        </is>
      </c>
      <c r="G35" s="31" t="n"/>
      <c r="H35" s="31" t="n"/>
    </row>
    <row r="36" ht="24" customHeight="1">
      <c r="A36" s="31" t="inlineStr">
        <is>
          <t>pred_co2_g</t>
        </is>
      </c>
      <c r="B36" s="31" t="n">
        <v>270432</v>
      </c>
      <c r="C36" s="42" t="n">
        <v>208.4697758832061</v>
      </c>
      <c r="D36" s="42" t="n">
        <v>447.7617756998036</v>
      </c>
      <c r="E36" s="42" t="n">
        <v>0.1471192419244984</v>
      </c>
      <c r="F36" s="42" t="n">
        <v>-0.0031515799687364</v>
      </c>
      <c r="G36" s="31" t="n"/>
      <c r="H36" s="31" t="n"/>
    </row>
    <row r="37" ht="24" customHeight="1">
      <c r="A37" s="31" t="inlineStr">
        <is>
          <t>default_pred_co2_g</t>
        </is>
      </c>
      <c r="B37" s="31" t="n">
        <v>270432</v>
      </c>
      <c r="C37" s="42" t="n">
        <v>317.1410801352639</v>
      </c>
      <c r="D37" s="42" t="n">
        <v>473.3369578247205</v>
      </c>
      <c r="E37" s="42" t="n">
        <v>0.2238096870155232</v>
      </c>
      <c r="F37" s="42" t="n">
        <v>-0.0903779074195443</v>
      </c>
      <c r="G37" s="31" t="n"/>
      <c r="H37" s="31" t="n"/>
    </row>
    <row r="38" ht="24" customHeight="1">
      <c r="A38" s="31" t="inlineStr">
        <is>
          <t>warmup_distance_pred_co2_g</t>
        </is>
      </c>
      <c r="B38" s="31" t="n">
        <v>270432</v>
      </c>
      <c r="C38" s="42" t="n">
        <v>522.5402772311306</v>
      </c>
      <c r="D38" s="42" t="n">
        <v>742.6196974556367</v>
      </c>
      <c r="E38" s="42" t="n">
        <v>0.3687619902480749</v>
      </c>
      <c r="F38" s="42" t="n">
        <v>-0.3547471408309997</v>
      </c>
      <c r="G38" s="31" t="n"/>
      <c r="H38" s="31" t="n"/>
    </row>
    <row r="39" ht="24" customHeight="1">
      <c r="A39" s="31" t="n"/>
      <c r="B39" s="31" t="n"/>
      <c r="C39" s="31" t="n"/>
      <c r="D39" s="31" t="n"/>
      <c r="E39" s="31" t="n"/>
      <c r="F39" s="31" t="n"/>
      <c r="G39" s="31" t="n"/>
      <c r="H39" s="31" t="n"/>
    </row>
    <row r="40" ht="24" customHeight="1">
      <c r="A40" s="31" t="n"/>
      <c r="B40" s="31" t="n"/>
      <c r="C40" s="31" t="n"/>
      <c r="D40" s="31" t="n"/>
      <c r="E40" s="31" t="n"/>
      <c r="F40" s="31" t="n"/>
      <c r="G40" s="31" t="n"/>
      <c r="H40" s="31" t="n"/>
    </row>
    <row r="41" ht="24" customHeight="1">
      <c r="A41" s="31" t="n"/>
      <c r="B41" s="31" t="n"/>
      <c r="C41" s="31" t="n"/>
      <c r="D41" s="31" t="n"/>
      <c r="E41" s="31" t="n"/>
      <c r="F41" s="31" t="n"/>
      <c r="G41" s="31" t="n"/>
      <c r="H41" s="31" t="n"/>
    </row>
    <row r="42" ht="24" customHeight="1">
      <c r="A42" s="31" t="inlineStr">
        <is>
          <t>Baseline naming correction</t>
        </is>
      </c>
      <c r="B42" s="31" t="inlineStr">
        <is>
          <t>default_pred_co2_g is the frozen 600-s observed snapshot, NOT a free-flow-only forecast.</t>
        </is>
      </c>
      <c r="C42" s="31" t="n"/>
      <c r="D42" s="31" t="n"/>
      <c r="E42" s="31" t="n"/>
      <c r="F42" s="31" t="n"/>
      <c r="G42" s="31" t="n"/>
      <c r="H42" s="31" t="n"/>
    </row>
    <row r="43" ht="24" customHeight="1">
      <c r="A43" s="31" t="n"/>
      <c r="B43" s="31" t="n"/>
      <c r="C43" s="31" t="n"/>
      <c r="D43" s="31" t="n"/>
      <c r="E43" s="31" t="n"/>
      <c r="F43" s="31" t="n"/>
      <c r="G43" s="31" t="n"/>
      <c r="H43" s="31" t="n"/>
    </row>
    <row r="44" ht="24" customHeight="1">
      <c r="A44" s="31" t="n"/>
      <c r="B44" s="31" t="n"/>
      <c r="C44" s="31" t="n"/>
      <c r="D44" s="31" t="n"/>
      <c r="E44" s="31" t="n"/>
      <c r="F44" s="31" t="n"/>
      <c r="G44" s="31" t="n"/>
      <c r="H44" s="31" t="n"/>
    </row>
    <row r="45" ht="24" customHeight="1">
      <c r="A45" s="31" t="inlineStr">
        <is>
          <t>Uncertainty</t>
        </is>
      </c>
      <c r="B45" s="31" t="inlineStr">
        <is>
          <t>24 designed contexts; 3 seed blocks. Probe screen has only 8 panels. No trip-level pseudo-sample inference.</t>
        </is>
      </c>
      <c r="C45" s="31" t="n"/>
      <c r="D45" s="31" t="n"/>
      <c r="E45" s="31" t="n"/>
      <c r="F45" s="31" t="n"/>
      <c r="G45" s="31" t="n"/>
      <c r="H45" s="31" t="n"/>
    </row>
    <row r="46" ht="24" customHeight="1">
      <c r="A46" s="31" t="n"/>
      <c r="B46" s="31" t="n"/>
      <c r="C46" s="31" t="n"/>
      <c r="D46" s="31" t="n"/>
      <c r="E46" s="31" t="n"/>
      <c r="F46" s="31" t="n"/>
      <c r="G46" s="31" t="n"/>
      <c r="H46" s="31" t="n"/>
    </row>
    <row r="47" ht="24" customHeight="1">
      <c r="A47" s="31" t="n"/>
      <c r="B47" s="31" t="n"/>
      <c r="C47" s="31" t="n"/>
      <c r="D47" s="31" t="n"/>
      <c r="E47" s="31" t="n"/>
      <c r="F47" s="31" t="n"/>
      <c r="G47" s="31" t="n"/>
      <c r="H47" s="31" t="n"/>
    </row>
    <row r="48" ht="24" customHeight="1">
      <c r="A48" s="31" t="inlineStr">
        <is>
          <t>Excel validation</t>
        </is>
      </c>
      <c r="B48" s="31" t="inlineStr">
        <is>
          <t>Recalculated; compared all 144 means and active scores with independent Python; changed inputs; scanned formula errors.</t>
        </is>
      </c>
      <c r="C48" s="31" t="n"/>
      <c r="D48" s="31" t="n"/>
      <c r="E48" s="31" t="n"/>
      <c r="F48" s="31" t="n"/>
      <c r="G48" s="31" t="n"/>
      <c r="H48" s="31" t="n"/>
    </row>
    <row r="49" ht="24" customHeight="1">
      <c r="A49" s="31" t="n"/>
      <c r="B49" s="31" t="n"/>
      <c r="C49" s="31" t="n"/>
      <c r="D49" s="31" t="n"/>
      <c r="E49" s="31" t="n"/>
      <c r="F49" s="31" t="n"/>
      <c r="G49" s="31" t="n"/>
      <c r="H49" s="31" t="n"/>
    </row>
    <row r="50" ht="24" customHeight="1">
      <c r="A50" s="31" t="n"/>
      <c r="B50" s="31" t="n"/>
      <c r="C50" s="31" t="n"/>
      <c r="D50" s="31" t="n"/>
      <c r="E50" s="31" t="n"/>
      <c r="F50" s="31" t="n"/>
      <c r="G50" s="31" t="n"/>
      <c r="H50" s="31" t="n"/>
    </row>
    <row r="51" ht="24" customHeight="1">
      <c r="A51" s="31" t="inlineStr">
        <is>
          <t>Desktop Excel</t>
        </is>
      </c>
      <c r="B51" s="31" t="inlineStr">
        <is>
          <t>Not executed in desktop Excel; native formulas and cached values are exported.</t>
        </is>
      </c>
      <c r="C51" s="31" t="n"/>
      <c r="D51" s="31" t="n"/>
      <c r="E51" s="31" t="n"/>
      <c r="F51" s="31" t="n"/>
      <c r="G51" s="31" t="n"/>
      <c r="H51" s="31" t="n"/>
    </row>
    <row r="52" ht="24" customHeight="1">
      <c r="A52" s="31" t="n"/>
      <c r="B52" s="31" t="n"/>
      <c r="C52" s="31" t="n"/>
      <c r="D52" s="31" t="n"/>
      <c r="E52" s="31" t="n"/>
      <c r="F52" s="31" t="n"/>
      <c r="G52" s="31" t="n"/>
      <c r="H52" s="31" t="n"/>
    </row>
    <row r="53" ht="24" customHeight="1">
      <c r="A53" s="31" t="n"/>
      <c r="B53" s="31" t="n"/>
      <c r="C53" s="31" t="n"/>
      <c r="D53" s="31" t="n"/>
      <c r="E53" s="31" t="n"/>
      <c r="F53" s="31" t="n"/>
      <c r="G53" s="31" t="n"/>
      <c r="H53" s="31" t="n"/>
    </row>
    <row r="54" ht="24" customHeight="1">
      <c r="A54" s="31" t="n"/>
      <c r="B54" s="31" t="n"/>
      <c r="C54" s="31" t="n"/>
      <c r="D54" s="31" t="n"/>
      <c r="E54" s="31" t="n"/>
      <c r="F54" s="31" t="n"/>
      <c r="G54" s="31" t="n"/>
      <c r="H54" s="31" t="n"/>
    </row>
    <row r="55" ht="24" customHeight="1">
      <c r="A55" s="31" t="n"/>
      <c r="B55" s="31" t="n"/>
      <c r="C55" s="31" t="n"/>
      <c r="D55" s="31" t="n"/>
      <c r="E55" s="31" t="n"/>
      <c r="F55" s="31" t="n"/>
      <c r="G55" s="31" t="n"/>
      <c r="H55" s="31" t="n"/>
    </row>
    <row r="56" ht="24" customHeight="1">
      <c r="A56" s="31" t="n"/>
      <c r="B56" s="31" t="n"/>
      <c r="C56" s="31" t="n"/>
      <c r="D56" s="31" t="n"/>
      <c r="E56" s="31" t="n"/>
      <c r="F56" s="31" t="n"/>
      <c r="G56" s="31" t="n"/>
      <c r="H56" s="31" t="n"/>
    </row>
    <row r="57" ht="24" customHeight="1">
      <c r="A57" s="31" t="n"/>
      <c r="B57" s="31" t="n"/>
      <c r="C57" s="31" t="n"/>
      <c r="D57" s="31" t="n"/>
      <c r="E57" s="31" t="n"/>
      <c r="F57" s="31" t="n"/>
      <c r="G57" s="31" t="n"/>
      <c r="H57" s="31" t="n"/>
    </row>
    <row r="58" ht="24" customHeight="1">
      <c r="A58" s="31" t="n"/>
      <c r="B58" s="31" t="n"/>
      <c r="C58" s="31" t="n"/>
      <c r="D58" s="31" t="n"/>
      <c r="E58" s="31" t="n"/>
      <c r="F58" s="31" t="n"/>
      <c r="G58" s="31" t="n"/>
      <c r="H58" s="31" t="n"/>
    </row>
    <row r="59" ht="24" customHeight="1">
      <c r="A59" s="31" t="n"/>
      <c r="B59" s="31" t="n"/>
      <c r="C59" s="31" t="n"/>
      <c r="D59" s="31" t="n"/>
      <c r="E59" s="31" t="n"/>
      <c r="F59" s="31" t="n"/>
      <c r="G59" s="31" t="n"/>
      <c r="H59" s="31" t="n"/>
    </row>
    <row r="60" ht="24" customHeight="1">
      <c r="A60" s="31" t="n"/>
      <c r="B60" s="31" t="n"/>
      <c r="C60" s="31" t="n"/>
      <c r="D60" s="31" t="n"/>
      <c r="E60" s="31" t="n"/>
      <c r="F60" s="31" t="n"/>
      <c r="G60" s="31" t="n"/>
      <c r="H60" s="31" t="n"/>
    </row>
    <row r="61" ht="24" customHeight="1">
      <c r="A61" s="31" t="n"/>
      <c r="B61" s="31" t="n"/>
      <c r="C61" s="31" t="n"/>
      <c r="D61" s="31" t="n"/>
      <c r="E61" s="31" t="n"/>
      <c r="F61" s="31" t="n"/>
      <c r="G61" s="31" t="n"/>
      <c r="H61" s="31" t="n"/>
    </row>
    <row r="62" ht="24" customHeight="1">
      <c r="A62" s="31" t="n"/>
      <c r="B62" s="31" t="n"/>
      <c r="C62" s="31" t="n"/>
      <c r="D62" s="31" t="n"/>
      <c r="E62" s="31" t="n"/>
      <c r="F62" s="31" t="n"/>
      <c r="G62" s="31" t="n"/>
      <c r="H62" s="31" t="n"/>
    </row>
    <row r="63" ht="24" customHeight="1">
      <c r="A63" s="31" t="n"/>
      <c r="B63" s="31" t="n"/>
      <c r="C63" s="31" t="n"/>
      <c r="D63" s="31" t="n"/>
      <c r="E63" s="31" t="n"/>
      <c r="F63" s="31" t="n"/>
      <c r="G63" s="31" t="n"/>
      <c r="H63" s="31" t="n"/>
    </row>
    <row r="64" ht="24" customHeight="1">
      <c r="A64" s="31" t="n"/>
      <c r="B64" s="31" t="n"/>
      <c r="C64" s="31" t="n"/>
      <c r="D64" s="31" t="n"/>
      <c r="E64" s="31" t="n"/>
      <c r="F64" s="31" t="n"/>
      <c r="G64" s="31" t="n"/>
      <c r="H64" s="31" t="n"/>
    </row>
    <row r="65" ht="24" customHeight="1">
      <c r="A65" s="31" t="n"/>
      <c r="B65" s="31" t="n"/>
      <c r="C65" s="31" t="n"/>
      <c r="D65" s="31" t="n"/>
      <c r="E65" s="31" t="n"/>
      <c r="F65" s="31" t="n"/>
      <c r="G65" s="31" t="n"/>
      <c r="H65" s="31" t="n"/>
    </row>
    <row r="66" ht="24" customHeight="1">
      <c r="A66" s="31" t="n"/>
      <c r="B66" s="31" t="n"/>
      <c r="C66" s="31" t="n"/>
      <c r="D66" s="31" t="n"/>
      <c r="E66" s="31" t="n"/>
      <c r="F66" s="31" t="n"/>
      <c r="G66" s="31" t="n"/>
      <c r="H66" s="31" t="n"/>
    </row>
    <row r="67" ht="24" customHeight="1">
      <c r="A67" s="31" t="n"/>
      <c r="B67" s="31" t="n"/>
      <c r="C67" s="31" t="n"/>
      <c r="D67" s="31" t="n"/>
      <c r="E67" s="31" t="n"/>
      <c r="F67" s="31" t="n"/>
      <c r="G67" s="31" t="n"/>
      <c r="H67" s="31" t="n"/>
    </row>
    <row r="68" ht="24" customHeight="1">
      <c r="A68" s="31" t="n"/>
      <c r="B68" s="31" t="n"/>
      <c r="C68" s="31" t="n"/>
      <c r="D68" s="31" t="n"/>
      <c r="E68" s="31" t="n"/>
      <c r="F68" s="31" t="n"/>
      <c r="G68" s="31" t="n"/>
      <c r="H68" s="31" t="n"/>
    </row>
    <row r="69" ht="24" customHeight="1">
      <c r="A69" s="31" t="n"/>
      <c r="B69" s="31" t="n"/>
      <c r="C69" s="31" t="n"/>
      <c r="D69" s="31" t="n"/>
      <c r="E69" s="31" t="n"/>
      <c r="F69" s="31" t="n"/>
      <c r="G69" s="31" t="n"/>
      <c r="H69" s="31" t="n"/>
    </row>
    <row r="70" ht="24" customHeight="1">
      <c r="A70" s="31" t="n"/>
      <c r="B70" s="31" t="n"/>
      <c r="C70" s="31" t="n"/>
      <c r="D70" s="31" t="n"/>
      <c r="E70" s="31" t="n"/>
      <c r="F70" s="31" t="n"/>
      <c r="G70" s="31" t="n"/>
      <c r="H70" s="31" t="n"/>
    </row>
    <row r="71" ht="24" customHeight="1">
      <c r="A71" s="31" t="n"/>
      <c r="B71" s="31" t="n"/>
      <c r="C71" s="31" t="n"/>
      <c r="D71" s="31" t="n"/>
      <c r="E71" s="31" t="n"/>
      <c r="F71" s="31" t="n"/>
      <c r="G71" s="31" t="n"/>
      <c r="H71" s="31" t="n"/>
    </row>
    <row r="72" ht="24" customHeight="1">
      <c r="A72" s="31" t="n"/>
      <c r="B72" s="31" t="n"/>
      <c r="C72" s="31" t="n"/>
      <c r="D72" s="31" t="n"/>
      <c r="E72" s="31" t="n"/>
      <c r="F72" s="31" t="n"/>
      <c r="G72" s="31" t="n"/>
      <c r="H72" s="31" t="n"/>
    </row>
    <row r="73" ht="24" customHeight="1">
      <c r="A73" s="31" t="n"/>
      <c r="B73" s="31" t="n"/>
      <c r="C73" s="31" t="n"/>
      <c r="D73" s="31" t="n"/>
      <c r="E73" s="31" t="n"/>
      <c r="F73" s="31" t="n"/>
      <c r="G73" s="31" t="n"/>
      <c r="H73" s="31" t="n"/>
    </row>
    <row r="74" ht="24" customHeight="1">
      <c r="A74" s="31" t="n"/>
      <c r="B74" s="31" t="n"/>
      <c r="C74" s="31" t="n"/>
      <c r="D74" s="31" t="n"/>
      <c r="E74" s="31" t="n"/>
      <c r="F74" s="31" t="n"/>
      <c r="G74" s="31" t="n"/>
      <c r="H74" s="31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1" ySplit="7" topLeftCell="B8" activePane="bottomRight" state="frozen"/>
      <selection activeCell="A1" sqref="A1"/>
    </sheetView>
  </sheetViews>
  <sheetFormatPr baseColWidth="8" defaultRowHeight="15"/>
  <cols>
    <col width="30" customWidth="1" min="1" max="1"/>
    <col width="24" customWidth="1" min="2" max="2"/>
    <col width="68" customWidth="1" min="3" max="3"/>
    <col width="63" customWidth="1" min="4" max="4"/>
  </cols>
  <sheetData>
    <row r="1" ht="24" customHeight="1">
      <c r="A1" s="31" t="n"/>
      <c r="B1" s="31" t="n"/>
      <c r="C1" s="31" t="n"/>
      <c r="D1" s="31" t="n"/>
    </row>
    <row r="2" ht="24" customHeight="1">
      <c r="A2" s="3" t="inlineStr">
        <is>
          <t>How to read populations, units and evidence</t>
        </is>
      </c>
      <c r="B2" s="31" t="n"/>
      <c r="C2" s="31" t="n"/>
      <c r="D2" s="31" t="n"/>
    </row>
    <row r="3" ht="24" customHeight="1">
      <c r="A3" s="31" t="n"/>
      <c r="B3" s="31" t="n"/>
      <c r="C3" s="31" t="n"/>
      <c r="D3" s="31" t="n"/>
    </row>
    <row r="4" ht="24" customHeight="1">
      <c r="A4" s="4" t="inlineStr">
        <is>
          <t>Each numerical outcome has a population and boundary; named zeros for run counts are not missing measurements.</t>
        </is>
      </c>
      <c r="B4" s="31" t="n"/>
      <c r="C4" s="31" t="n"/>
      <c r="D4" s="31" t="n"/>
    </row>
    <row r="5" ht="24" customHeight="1">
      <c r="A5" s="31" t="n"/>
      <c r="B5" s="31" t="n"/>
      <c r="C5" s="31" t="n"/>
      <c r="D5" s="31" t="n"/>
    </row>
    <row r="6" ht="24" customHeight="1">
      <c r="A6" s="31" t="n"/>
      <c r="B6" s="31" t="n"/>
      <c r="C6" s="31" t="n"/>
      <c r="D6" s="31" t="n"/>
    </row>
    <row r="7" ht="38" customHeight="1">
      <c r="A7" s="7" t="inlineStr">
        <is>
          <t>Variable / term</t>
        </is>
      </c>
      <c r="B7" s="7" t="inlineStr">
        <is>
          <t>Unit / type</t>
        </is>
      </c>
      <c r="C7" s="7" t="inlineStr">
        <is>
          <t>Definition</t>
        </is>
      </c>
      <c r="D7" s="7" t="inlineStr">
        <is>
          <t>Source / restriction</t>
        </is>
      </c>
    </row>
    <row r="8" ht="88" customHeight="1">
      <c r="A8" s="8" t="inlineStr">
        <is>
          <t>Context</t>
        </is>
      </c>
      <c r="B8" s="8" t="inlineStr">
        <is>
          <t>Categorical</t>
        </is>
      </c>
      <c r="C8" s="8" t="inlineStr">
        <is>
          <t>One unique factor configuration; replications are not new contexts</t>
        </is>
      </c>
      <c r="D8" s="8" t="inlineStr">
        <is>
          <t>SCENARIO_DESIGN</t>
        </is>
      </c>
    </row>
    <row r="9" ht="88" customHeight="1">
      <c r="A9" s="8" t="inlineStr">
        <is>
          <t>Setting</t>
        </is>
      </c>
      <c r="B9" s="8" t="inlineStr">
        <is>
          <t>Categorical</t>
        </is>
      </c>
      <c r="C9" s="8" t="inlineStr">
        <is>
          <t>SP/DTT/ECO plus TECO allowance sensitivities</t>
        </is>
      </c>
      <c r="D9" s="8" t="inlineStr">
        <is>
          <t>TECO10 core used only for descriptive 4-policy comparison</t>
        </is>
      </c>
    </row>
    <row r="10" ht="88" customHeight="1">
      <c r="A10" s="8" t="inlineStr">
        <is>
          <t>Seed</t>
        </is>
      </c>
      <c r="B10" s="8" t="inlineStr">
        <is>
          <t>Integer</t>
        </is>
      </c>
      <c r="C10" s="8" t="inlineStr">
        <is>
          <t>Paired exogenous demand block across settings</t>
        </is>
      </c>
      <c r="D10" s="8" t="inlineStr">
        <is>
          <t>8101–8103 development</t>
        </is>
      </c>
    </row>
    <row r="11" ht="88" customHeight="1">
      <c r="A11" s="8" t="inlineStr">
        <is>
          <t>Journey</t>
        </is>
      </c>
      <c r="B11" s="8" t="inlineStr">
        <is>
          <t>s</t>
        </is>
      </c>
      <c r="C11" s="8" t="inlineStr">
        <is>
          <t>arrival minus requested departure; includes insertion wait</t>
        </is>
      </c>
      <c r="D11" s="8" t="inlineStr">
        <is>
          <t>Primary cohort requested 600–2400</t>
        </is>
      </c>
    </row>
    <row r="12" ht="88" customHeight="1">
      <c r="A12" s="8" t="inlineStr">
        <is>
          <t>CO2</t>
        </is>
      </c>
      <c r="B12" s="8" t="inlineStr">
        <is>
          <t>g/veh</t>
        </is>
      </c>
      <c r="C12" s="8" t="inlineStr">
        <is>
          <t>In-network modeled tailpipe emissions; CO2_abs/1000</t>
        </is>
      </c>
      <c r="D12" s="8" t="inlineStr">
        <is>
          <t>HBEFA3/PC_G_EU4; no external insertion emissions</t>
        </is>
      </c>
    </row>
    <row r="13" ht="88" customHeight="1">
      <c r="A13" s="8" t="inlineStr">
        <is>
          <t>P95</t>
        </is>
      </c>
      <c r="B13" s="8" t="inlineStr">
        <is>
          <t>s</t>
        </is>
      </c>
      <c r="C13" s="8" t="inlineStr">
        <is>
          <t>Per-run primary type7 quantile; equal mean over replications</t>
        </is>
      </c>
      <c r="D13" s="8" t="inlineStr">
        <is>
          <t>Diagnostic; not same-OD day-to-day reliability</t>
        </is>
      </c>
    </row>
    <row r="14" ht="88" customHeight="1">
      <c r="A14" s="8" t="inlineStr">
        <is>
          <t>Default fraction</t>
        </is>
      </c>
      <c r="B14" s="8" t="inlineStr">
        <is>
          <t>Fraction</t>
        </is>
      </c>
      <c r="C14" s="8" t="inlineStr">
        <is>
          <t>Defaulted route links / counted route links at assignment</t>
        </is>
      </c>
      <c r="D14" s="8" t="inlineStr">
        <is>
          <t>Observer coverage diagnostic</t>
        </is>
      </c>
    </row>
    <row r="15" ht="88" customHeight="1">
      <c r="A15" s="8" t="inlineStr">
        <is>
          <t>Queue proxy</t>
        </is>
      </c>
      <c r="B15" s="8" t="inlineStr">
        <is>
          <t>vehicle-s</t>
        </is>
      </c>
      <c r="C15" s="8" t="inlineStr">
        <is>
          <t>Sum native edge waitingTime over full run</t>
        </is>
      </c>
      <c r="D15" s="8" t="inlineStr">
        <is>
          <t>All vehicles, all times; not cohort queue length</t>
        </is>
      </c>
    </row>
    <row r="16" ht="88" customHeight="1">
      <c r="A16" s="8" t="inlineStr">
        <is>
          <t>Network cohort total</t>
        </is>
      </c>
      <c r="B16" s="8" t="inlineStr">
        <is>
          <t>g</t>
        </is>
      </c>
      <c r="C16" s="8" t="inlineStr">
        <is>
          <t>Primary+background requests in evaluation window, through completion</t>
        </is>
      </c>
      <c r="D16" s="8" t="inlineStr">
        <is>
          <t>Distinct from all-vehicles accounting mass</t>
        </is>
      </c>
    </row>
    <row r="17" ht="88" customHeight="1">
      <c r="A17" s="8" t="inlineStr">
        <is>
          <t>WAPE</t>
        </is>
      </c>
      <c r="B17" s="8" t="inlineStr">
        <is>
          <t>Fraction</t>
        </is>
      </c>
      <c r="C17" s="8" t="inlineStr">
        <is>
          <t>Sum absolute emission forecast errors / sum actual grams</t>
        </is>
      </c>
      <c r="D17" s="8" t="inlineStr">
        <is>
          <t>Trip-weighted; not MAPE</t>
        </is>
      </c>
    </row>
    <row r="18" ht="88" customHeight="1">
      <c r="A18" s="8" t="inlineStr">
        <is>
          <t>Regret</t>
        </is>
      </c>
      <c r="B18" s="8" t="inlineStr">
        <is>
          <t>Normalized cost units</t>
        </is>
      </c>
      <c r="C18" s="8" t="inlineStr">
        <is>
          <t>Observed chosen cost minus observed context minimum</t>
        </is>
      </c>
      <c r="D18" s="8" t="inlineStr">
        <is>
          <t>Fixed additive references; lower better</t>
        </is>
      </c>
    </row>
    <row r="19" ht="88" customHeight="1">
      <c r="A19" s="8" t="inlineStr">
        <is>
          <t>Numerical tie</t>
        </is>
      </c>
      <c r="B19" s="8" t="inlineStr">
        <is>
          <t>Tolerance</t>
        </is>
      </c>
      <c r="C19" s="8" t="inlineStr">
        <is>
          <t>1e-10 loss units in workbook</t>
        </is>
      </c>
      <c r="D19" s="8" t="inlineStr">
        <is>
          <t>Distinct from illustrative near-best epsilon</t>
        </is>
      </c>
    </row>
    <row r="20" ht="88" customHeight="1">
      <c r="A20" s="8" t="inlineStr">
        <is>
          <t>Near-best</t>
        </is>
      </c>
      <c r="B20" s="8" t="inlineStr">
        <is>
          <t>Decision tolerance</t>
        </is>
      </c>
      <c r="C20" s="8" t="inlineStr">
        <is>
          <t>Regret &lt;= epsilon; sweeps .01/.02/.05</t>
        </is>
      </c>
      <c r="D20" s="8" t="inlineStr">
        <is>
          <t>Not elicited economic indifference</t>
        </is>
      </c>
    </row>
    <row r="21" ht="88" customHeight="1">
      <c r="A21" s="8" t="inlineStr">
        <is>
          <t>COMPLETED PILOT</t>
        </is>
      </c>
      <c r="B21" s="8" t="inlineStr">
        <is>
          <t>Evidence category</t>
        </is>
      </c>
      <c r="C21" s="8" t="inlineStr">
        <is>
          <t>Original frozen experiment</t>
        </is>
      </c>
      <c r="D21" s="8" t="inlineStr">
        <is>
          <t>Never retroactively changed</t>
        </is>
      </c>
    </row>
    <row r="22" ht="88" customHeight="1">
      <c r="A22" s="8" t="inlineStr">
        <is>
          <t>NEW DEVELOPMENT RESULT</t>
        </is>
      </c>
      <c r="B22" s="8" t="inlineStr">
        <is>
          <t>Evidence category</t>
        </is>
      </c>
      <c r="C22" s="8" t="inlineStr">
        <is>
          <t>Actual simulations in this separate namespace</t>
        </is>
      </c>
      <c r="D22" s="8" t="inlineStr">
        <is>
          <t>Not final held-out main results</t>
        </is>
      </c>
    </row>
    <row r="23" ht="88" customHeight="1">
      <c r="A23" s="8" t="inlineStr">
        <is>
          <t>POST-HOC CALCULATION</t>
        </is>
      </c>
      <c r="B23" s="8" t="inlineStr">
        <is>
          <t>Evidence category</t>
        </is>
      </c>
      <c r="C23" s="8" t="inlineStr">
        <is>
          <t>New analysis on unchanged observed data</t>
        </is>
      </c>
      <c r="D23" s="8" t="inlineStr">
        <is>
          <t>VIKOR and criterion diagnostics</t>
        </is>
      </c>
    </row>
    <row r="24" ht="88" customHeight="1">
      <c r="A24" s="8" t="inlineStr">
        <is>
          <t>PROPOSED</t>
        </is>
      </c>
      <c r="B24" s="8" t="inlineStr">
        <is>
          <t>Evidence category</t>
        </is>
      </c>
      <c r="C24" s="8" t="inlineStr">
        <is>
          <t>Unexecuted main / ML design</t>
        </is>
      </c>
      <c r="D24" s="8" t="inlineStr">
        <is>
          <t>TO BE GENERATED, never zero-valued outcome</t>
        </is>
      </c>
    </row>
    <row r="25" ht="88" customHeight="1">
      <c r="A25" s="8" t="inlineStr">
        <is>
          <t>HYPOTHETICAL</t>
        </is>
      </c>
      <c r="B25" s="8" t="inlineStr">
        <is>
          <t>Evidence category</t>
        </is>
      </c>
      <c r="C25" s="8" t="inlineStr">
        <is>
          <t>Teaching example only</t>
        </is>
      </c>
      <c r="D25" s="8" t="inlineStr">
        <is>
          <t>WORKED_EXAMPLE, isolated from experiment</t>
        </is>
      </c>
    </row>
    <row r="26" ht="24" customHeight="1">
      <c r="A26" s="31" t="n"/>
      <c r="B26" s="31" t="n"/>
      <c r="C26" s="31" t="n"/>
      <c r="D26" s="31" t="n"/>
    </row>
    <row r="27" ht="24" customHeight="1">
      <c r="A27" s="31" t="n"/>
      <c r="B27" s="31" t="n"/>
      <c r="C27" s="31" t="n"/>
      <c r="D27" s="31" t="n"/>
    </row>
    <row r="28" ht="24" customHeight="1">
      <c r="A28" s="31" t="n"/>
      <c r="B28" s="31" t="n"/>
      <c r="C28" s="31" t="n"/>
      <c r="D28" s="3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workbookViewId="0">
      <pane xSplit="1" ySplit="7" topLeftCell="B8" activePane="bottomRight" state="frozen"/>
      <selection activeCell="A1" sqref="A1"/>
    </sheetView>
  </sheetViews>
  <sheetFormatPr baseColWidth="8" defaultRowHeight="15"/>
  <cols>
    <col width="12" customWidth="1" min="1" max="1"/>
    <col width="62" customWidth="1" min="2" max="2"/>
    <col width="42" customWidth="1" min="3" max="3"/>
    <col width="12" customWidth="1" min="4" max="4"/>
    <col width="47" customWidth="1" min="5" max="5"/>
    <col width="45" customWidth="1" min="6" max="6"/>
    <col width="60" customWidth="1" min="7" max="7"/>
    <col width="35" customWidth="1" min="8" max="8"/>
    <col width="70" customWidth="1" min="9" max="9"/>
  </cols>
  <sheetData>
    <row r="1" ht="24" customHeight="1">
      <c r="A1" s="31" t="n"/>
      <c r="B1" s="31" t="n"/>
      <c r="C1" s="31" t="n"/>
      <c r="D1" s="31" t="n"/>
      <c r="E1" s="31" t="n"/>
      <c r="F1" s="31" t="n"/>
      <c r="G1" s="31" t="n"/>
      <c r="H1" s="31" t="n"/>
      <c r="I1" s="31" t="n"/>
    </row>
    <row r="2" ht="24" customHeight="1">
      <c r="A2" s="3" t="inlineStr">
        <is>
          <t>Verified references and access limitations</t>
        </is>
      </c>
      <c r="B2" s="31" t="n"/>
      <c r="C2" s="31" t="n"/>
      <c r="D2" s="31" t="n"/>
      <c r="E2" s="31" t="n"/>
      <c r="F2" s="31" t="n"/>
      <c r="G2" s="31" t="n"/>
      <c r="H2" s="31" t="n"/>
      <c r="I2" s="31" t="n"/>
    </row>
    <row r="3" ht="24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</row>
    <row r="4" ht="24" customHeight="1">
      <c r="A4" s="4" t="inlineStr">
        <is>
          <t>Targeted search through 19 September 2026; not a systematic review or proof of first-ever novelty.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</row>
    <row r="5" ht="24" customHeight="1">
      <c r="A5" s="31" t="n"/>
      <c r="B5" s="31" t="n"/>
      <c r="C5" s="31" t="n"/>
      <c r="D5" s="31" t="n"/>
      <c r="E5" s="31" t="n"/>
      <c r="F5" s="31" t="n"/>
      <c r="G5" s="31" t="n"/>
      <c r="H5" s="31" t="n"/>
      <c r="I5" s="31" t="n"/>
    </row>
    <row r="6" ht="24" customHeight="1">
      <c r="A6" s="31" t="n"/>
      <c r="B6" s="31" t="n"/>
      <c r="C6" s="31" t="n"/>
      <c r="D6" s="31" t="n"/>
      <c r="E6" s="31" t="n"/>
      <c r="F6" s="31" t="n"/>
      <c r="G6" s="31" t="n"/>
      <c r="H6" s="31" t="n"/>
      <c r="I6" s="31" t="n"/>
    </row>
    <row r="7" ht="38" customHeight="1">
      <c r="A7" s="7" t="inlineStr">
        <is>
          <t>ID</t>
        </is>
      </c>
      <c r="B7" s="7" t="inlineStr">
        <is>
          <t>Title</t>
        </is>
      </c>
      <c r="C7" s="7" t="inlineStr">
        <is>
          <t>Authors</t>
        </is>
      </c>
      <c r="D7" s="7" t="inlineStr">
        <is>
          <t>Year</t>
        </is>
      </c>
      <c r="E7" s="7" t="inlineStr">
        <is>
          <t>Venue</t>
        </is>
      </c>
      <c r="F7" s="7" t="inlineStr">
        <is>
          <t>DOI</t>
        </is>
      </c>
      <c r="G7" s="7" t="inlineStr">
        <is>
          <t>URL</t>
        </is>
      </c>
      <c r="H7" s="7" t="inlineStr">
        <is>
          <t>Role</t>
        </is>
      </c>
      <c r="I7" s="7" t="inlineStr">
        <is>
          <t>Access / verification</t>
        </is>
      </c>
    </row>
    <row r="8" ht="88" customHeight="1">
      <c r="A8" s="8" t="inlineStr">
        <is>
          <t>R01</t>
        </is>
      </c>
      <c r="B8" s="8" t="inlineStr">
        <is>
          <t>A note on two problems in connexion with graphs</t>
        </is>
      </c>
      <c r="C8" s="8" t="inlineStr">
        <is>
          <t>E. W. Dijkstra</t>
        </is>
      </c>
      <c r="D8" s="8" t="n">
        <v>1959</v>
      </c>
      <c r="E8" s="8" t="inlineStr">
        <is>
          <t>Numerische Mathematik</t>
        </is>
      </c>
      <c r="F8" s="8" t="inlineStr">
        <is>
          <t>10.1007/bf01386390</t>
        </is>
      </c>
      <c r="G8" s="8" t="inlineStr">
        <is>
          <t>https://doi.org/10.1007/bf01386390</t>
        </is>
      </c>
      <c r="H8" s="8" t="inlineStr">
        <is>
          <t>Dijkstra shortest path</t>
        </is>
      </c>
      <c r="I8" s="8" t="inlineStr">
        <is>
          <t>Publisher metadata; standard algorithm</t>
        </is>
      </c>
    </row>
    <row r="9" ht="88" customHeight="1">
      <c r="A9" s="8" t="inlineStr">
        <is>
          <t>R02</t>
        </is>
      </c>
      <c r="B9" s="8" t="inlineStr">
        <is>
          <t>The effects of route choice decisions on vehicle energy consumption and emissions</t>
        </is>
      </c>
      <c r="C9" s="8" t="inlineStr">
        <is>
          <t>Kyoungho Ahn; Hesham Rakha</t>
        </is>
      </c>
      <c r="D9" s="8" t="n">
        <v>2008</v>
      </c>
      <c r="E9" s="8" t="inlineStr">
        <is>
          <t>Transportation Research Part D: Transport and Environment</t>
        </is>
      </c>
      <c r="F9" s="8" t="inlineStr">
        <is>
          <t>10.1016/j.trd.2008.01.005</t>
        </is>
      </c>
      <c r="G9" s="8" t="inlineStr">
        <is>
          <t>https://doi.org/10.1016/j.trd.2008.01.005</t>
        </is>
      </c>
      <c r="H9" s="8" t="inlineStr">
        <is>
          <t>Route choice and energy</t>
        </is>
      </c>
      <c r="I9" s="8" t="inlineStr">
        <is>
          <t>Publisher abstract</t>
        </is>
      </c>
    </row>
    <row r="10" ht="88" customHeight="1">
      <c r="A10" s="8" t="inlineStr">
        <is>
          <t>R03</t>
        </is>
      </c>
      <c r="B10" s="8" t="inlineStr">
        <is>
          <t>Eco-Routing Navigation System Based on Multisource Historical and Real-Time Traffic Information</t>
        </is>
      </c>
      <c r="C10" s="8" t="inlineStr">
        <is>
          <t>Kanok Boriboonsomsin; Matthew J. Barth; Weihua Zhu; Alexander Vu</t>
        </is>
      </c>
      <c r="D10" s="8" t="n">
        <v>2012</v>
      </c>
      <c r="E10" s="8" t="inlineStr">
        <is>
          <t>IEEE Transactions on Intelligent Transportation Systems</t>
        </is>
      </c>
      <c r="F10" s="8" t="inlineStr">
        <is>
          <t>10.1109/tits.2012.2204051</t>
        </is>
      </c>
      <c r="G10" s="8" t="inlineStr">
        <is>
          <t>https://doi.org/10.1109/tits.2012.2204051</t>
        </is>
      </c>
      <c r="H10" s="8" t="inlineStr">
        <is>
          <t>Historical/realtime eco-routing</t>
        </is>
      </c>
      <c r="I10" s="8" t="inlineStr">
        <is>
          <t>Bibliography and published abstract; detailed model not replicated</t>
        </is>
      </c>
    </row>
    <row r="11" ht="88" customHeight="1">
      <c r="A11" s="8" t="inlineStr">
        <is>
          <t>R04</t>
        </is>
      </c>
      <c r="B11" s="8" t="inlineStr">
        <is>
          <t>Application of the support vector machine and heuristic k-shortest path algorithm to determine the most eco-friendly path with a travel time constraint</t>
        </is>
      </c>
      <c r="C11" s="8" t="inlineStr">
        <is>
          <t>Weiliang Zeng; Tomio Miwa; Takayuki Morikawa</t>
        </is>
      </c>
      <c r="D11" s="8" t="n">
        <v>2017</v>
      </c>
      <c r="E11" s="8" t="inlineStr">
        <is>
          <t>Transportation Research Part D: Transport and Environment</t>
        </is>
      </c>
      <c r="F11" s="8" t="inlineStr">
        <is>
          <t>10.1016/j.trd.2017.10.001</t>
        </is>
      </c>
      <c r="G11" s="8" t="inlineStr">
        <is>
          <t>https://doi.org/10.1016/j.trd.2017.10.001</t>
        </is>
      </c>
      <c r="H11" s="8" t="inlineStr">
        <is>
          <t>Time-constrained CO2 routing</t>
        </is>
      </c>
      <c r="I11" s="8" t="inlineStr">
        <is>
          <t>Publisher abstract; no equation number asserted</t>
        </is>
      </c>
    </row>
    <row r="12" ht="88" customHeight="1">
      <c r="A12" s="8" t="inlineStr">
        <is>
          <t>R05</t>
        </is>
      </c>
      <c r="B12" s="8" t="inlineStr">
        <is>
          <t>Eco-Routing based on a Data Driven Fuel Consumption Model</t>
        </is>
      </c>
      <c r="C12" s="8" t="inlineStr">
        <is>
          <t>Xianan Huang; Huei Peng</t>
        </is>
      </c>
      <c r="D12" s="8" t="n">
        <v>2018</v>
      </c>
      <c r="E12" s="8" t="inlineStr">
        <is>
          <t>arXiv preprint</t>
        </is>
      </c>
      <c r="F12" s="8" t="inlineStr">
        <is>
          <t>Not assigned / not used</t>
        </is>
      </c>
      <c r="G12" s="8" t="inlineStr">
        <is>
          <t>https://arxiv.org/abs/1801.08602</t>
        </is>
      </c>
      <c r="H12" s="8" t="inlineStr">
        <is>
          <t>Eco-Routing based on a Data Driven Fuel Consumption Model</t>
        </is>
      </c>
      <c r="I12" s="8" t="inlineStr">
        <is>
          <t>Full author preprint inspected; section 2.3 eqs 19-23; soft time constraint differs from our candidate hard filter</t>
        </is>
      </c>
    </row>
    <row r="13" ht="88" customHeight="1">
      <c r="A13" s="8" t="inlineStr">
        <is>
          <t>R06</t>
        </is>
      </c>
      <c r="B13" s="8" t="inlineStr">
        <is>
          <t>Multi-objective eco-routing for dynamic control of connected &amp; automated vehicles</t>
        </is>
      </c>
      <c r="C13" s="8" t="inlineStr">
        <is>
          <t>Shadi Djavadian; Ran Tu; Bilal Farooq; Marianne Hatzopoulou</t>
        </is>
      </c>
      <c r="D13" s="8" t="n">
        <v>2020</v>
      </c>
      <c r="E13" s="8" t="inlineStr">
        <is>
          <t>Transportation Research Part D: Transport and Environment</t>
        </is>
      </c>
      <c r="F13" s="8" t="inlineStr">
        <is>
          <t>10.1016/j.trd.2020.102513</t>
        </is>
      </c>
      <c r="G13" s="8" t="inlineStr">
        <is>
          <t>https://doi.org/10.1016/j.trd.2020.102513</t>
        </is>
      </c>
      <c r="H13" s="8" t="inlineStr">
        <is>
          <t>Multiobjective eco-routing</t>
        </is>
      </c>
      <c r="I13" s="8" t="inlineStr">
        <is>
          <t>Author full text arXiv:2005.00815, section 3</t>
        </is>
      </c>
    </row>
    <row r="14" ht="88" customHeight="1">
      <c r="A14" s="8" t="inlineStr">
        <is>
          <t>R07</t>
        </is>
      </c>
      <c r="B14" s="8" t="inlineStr">
        <is>
          <t>Deep Learning Based Proactive Multi-Objective Eco-Routing Strategies for Connected and Automated Vehicles</t>
        </is>
      </c>
      <c r="C14" s="8" t="inlineStr">
        <is>
          <t>Lama Alfaseeh; Bilal Farooq</t>
        </is>
      </c>
      <c r="D14" s="8" t="n">
        <v>2020</v>
      </c>
      <c r="E14" s="8" t="inlineStr">
        <is>
          <t>Frontiers in Future Transportation</t>
        </is>
      </c>
      <c r="F14" s="8" t="inlineStr">
        <is>
          <t>10.3389/ffutr.2020.594608</t>
        </is>
      </c>
      <c r="G14" s="8" t="inlineStr">
        <is>
          <t>https://doi.org/10.3389/ffutr.2020.594608</t>
        </is>
      </c>
      <c r="H14" s="8" t="inlineStr">
        <is>
          <t>Proactive learned eco-routing</t>
        </is>
      </c>
      <c r="I14" s="8" t="inlineStr">
        <is>
          <t>Publisher full text</t>
        </is>
      </c>
    </row>
    <row r="15" ht="88" customHeight="1">
      <c r="A15" s="8" t="inlineStr">
        <is>
          <t>R08</t>
        </is>
      </c>
      <c r="B15" s="8" t="inlineStr">
        <is>
          <t>The Algorithm Selection Problem</t>
        </is>
      </c>
      <c r="C15" s="8" t="inlineStr">
        <is>
          <t>John R. Rice</t>
        </is>
      </c>
      <c r="D15" s="8" t="n">
        <v>1976</v>
      </c>
      <c r="E15" s="8" t="inlineStr">
        <is>
          <t>Advances in Computers; Advances in Computers Volume 15</t>
        </is>
      </c>
      <c r="F15" s="8" t="inlineStr">
        <is>
          <t>10.1016/s0065-2458(08)60520-3</t>
        </is>
      </c>
      <c r="G15" s="8" t="inlineStr">
        <is>
          <t>https://doi.org/10.1016/s0065-2458(08)60520-3</t>
        </is>
      </c>
      <c r="H15" s="8" t="inlineStr">
        <is>
          <t>Algorithm selection</t>
        </is>
      </c>
      <c r="I15" s="8" t="inlineStr">
        <is>
          <t>Publisher chapter metadata and abstract</t>
        </is>
      </c>
    </row>
    <row r="16" ht="88" customHeight="1">
      <c r="A16" s="8" t="inlineStr">
        <is>
          <t>R09</t>
        </is>
      </c>
      <c r="B16" s="8" t="inlineStr">
        <is>
          <t>ASlib: A benchmark library for algorithm selection</t>
        </is>
      </c>
      <c r="C16" s="8" t="inlineStr">
        <is>
          <t>Bernd Bischl; Pascal Kerschke; Lars Kotthoff; Marius Lindauer; Yuri Malitsky; Alexandre Fréchette; Holger Hoos; Frank Hutter; Kevin Leyton-Brown; Kevin Tierney; Joaquin Vanschoren</t>
        </is>
      </c>
      <c r="D16" s="8" t="n">
        <v>2016</v>
      </c>
      <c r="E16" s="8" t="inlineStr">
        <is>
          <t>Artificial Intelligence</t>
        </is>
      </c>
      <c r="F16" s="8" t="inlineStr">
        <is>
          <t>10.1016/j.artint.2016.04.003</t>
        </is>
      </c>
      <c r="G16" s="8" t="inlineStr">
        <is>
          <t>https://doi.org/10.1016/j.artint.2016.04.003</t>
        </is>
      </c>
      <c r="H16" s="8" t="inlineStr">
        <is>
          <t>ASlib benchmark</t>
        </is>
      </c>
      <c r="I16" s="8" t="inlineStr">
        <is>
          <t>Author full text</t>
        </is>
      </c>
    </row>
    <row r="17" ht="88" customHeight="1">
      <c r="A17" s="8" t="inlineStr">
        <is>
          <t>R10</t>
        </is>
      </c>
      <c r="B17" s="8" t="inlineStr">
        <is>
          <t>SATzilla: Portfolio-based Algorithm Selection for SAT</t>
        </is>
      </c>
      <c r="C17" s="8" t="inlineStr">
        <is>
          <t>L. Xu; F. Hutter; H. H. Hoos; K. Leyton-Brown</t>
        </is>
      </c>
      <c r="D17" s="8" t="n">
        <v>2008</v>
      </c>
      <c r="E17" s="8" t="inlineStr">
        <is>
          <t>Journal of Artificial Intelligence Research</t>
        </is>
      </c>
      <c r="F17" s="8" t="inlineStr">
        <is>
          <t>10.1613/jair.2490</t>
        </is>
      </c>
      <c r="G17" s="8" t="inlineStr">
        <is>
          <t>https://doi.org/10.1613/jair.2490</t>
        </is>
      </c>
      <c r="H17" s="8" t="inlineStr">
        <is>
          <t>Performance-model portfolio selection</t>
        </is>
      </c>
      <c r="I17" s="8" t="inlineStr">
        <is>
          <t>Author full text arXiv:1111.2249</t>
        </is>
      </c>
    </row>
    <row r="18" ht="88" customHeight="1">
      <c r="A18" s="8" t="inlineStr">
        <is>
          <t>R11</t>
        </is>
      </c>
      <c r="B18" s="8" t="inlineStr">
        <is>
          <t>Smart “Predict, then Optimize”</t>
        </is>
      </c>
      <c r="C18" s="8" t="inlineStr">
        <is>
          <t>Adam N. Elmachtoub; Paul Grigas</t>
        </is>
      </c>
      <c r="D18" s="8" t="n">
        <v>2022</v>
      </c>
      <c r="E18" s="8" t="inlineStr">
        <is>
          <t>Management Science</t>
        </is>
      </c>
      <c r="F18" s="8" t="inlineStr">
        <is>
          <t>10.1287/mnsc.2020.3922</t>
        </is>
      </c>
      <c r="G18" s="8" t="inlineStr">
        <is>
          <t>https://doi.org/10.1287/mnsc.2020.3922</t>
        </is>
      </c>
      <c r="H18" s="8" t="inlineStr">
        <is>
          <t>Decision loss</t>
        </is>
      </c>
      <c r="I18" s="8" t="inlineStr">
        <is>
          <t>Author full text arXiv:1710.08005</t>
        </is>
      </c>
    </row>
    <row r="19" ht="88" customHeight="1">
      <c r="A19" s="8" t="inlineStr">
        <is>
          <t>R12</t>
        </is>
      </c>
      <c r="B19" s="8" t="inlineStr">
        <is>
          <t>Multiple Attribute Decision Making</t>
        </is>
      </c>
      <c r="C19" s="8" t="inlineStr">
        <is>
          <t>Ching-Lai Hwang; Kwangsun Yoon</t>
        </is>
      </c>
      <c r="D19" s="8" t="n">
        <v>1981</v>
      </c>
      <c r="E19" s="8" t="inlineStr">
        <is>
          <t>Lecture Notes in Economics and Mathematical Systems</t>
        </is>
      </c>
      <c r="F19" s="8" t="inlineStr">
        <is>
          <t>10.1007/978-3-642-48318-9</t>
        </is>
      </c>
      <c r="G19" s="8" t="inlineStr">
        <is>
          <t>https://doi.org/10.1007/978-3-642-48318-9</t>
        </is>
      </c>
      <c r="H19" s="8" t="inlineStr">
        <is>
          <t>SAW/TOPSIS foundations</t>
        </is>
      </c>
      <c r="I19" s="8" t="inlineStr">
        <is>
          <t>Publisher book metadata; method chapter pp.58-191</t>
        </is>
      </c>
    </row>
    <row r="20" ht="88" customHeight="1">
      <c r="A20" s="8" t="inlineStr">
        <is>
          <t>R13</t>
        </is>
      </c>
      <c r="B20" s="8" t="inlineStr">
        <is>
          <t>Compromise solution by MCDM methods: A comparative analysis of VIKOR and TOPSIS</t>
        </is>
      </c>
      <c r="C20" s="8" t="inlineStr">
        <is>
          <t>Serafim Opricovic; Gwo-Hshiung Tzeng</t>
        </is>
      </c>
      <c r="D20" s="8" t="n">
        <v>2004</v>
      </c>
      <c r="E20" s="8" t="inlineStr">
        <is>
          <t>European Journal of Operational Research 156(2)</t>
        </is>
      </c>
      <c r="F20" s="8" t="inlineStr">
        <is>
          <t>10.1016/S0377-2217(03)00020-1</t>
        </is>
      </c>
      <c r="G20" s="8" t="inlineStr">
        <is>
          <t>https://doi.org/10.1016/S0377-2217(03)00020-1</t>
        </is>
      </c>
      <c r="H20" s="8" t="inlineStr">
        <is>
          <t>VIKOR/TOPSIS comparison</t>
        </is>
      </c>
      <c r="I20" s="8" t="inlineStr">
        <is>
          <t>Publisher abstract; full-text equation numbering not verified</t>
        </is>
      </c>
    </row>
    <row r="21" ht="88" customHeight="1">
      <c r="A21" s="8" t="inlineStr">
        <is>
          <t>R14</t>
        </is>
      </c>
      <c r="B21" s="8" t="inlineStr">
        <is>
          <t>Note—A Preference Ranking Organisation Method</t>
        </is>
      </c>
      <c r="C21" s="8" t="inlineStr">
        <is>
          <t>J. P. Brans; Ph. Vincke</t>
        </is>
      </c>
      <c r="D21" s="8" t="n">
        <v>1985</v>
      </c>
      <c r="E21" s="8" t="inlineStr">
        <is>
          <t>Management Science</t>
        </is>
      </c>
      <c r="F21" s="8" t="inlineStr">
        <is>
          <t>10.1287/mnsc.31.6.647</t>
        </is>
      </c>
      <c r="G21" s="8" t="inlineStr">
        <is>
          <t>https://doi.org/10.1287/mnsc.31.6.647</t>
        </is>
      </c>
      <c r="H21" s="8" t="inlineStr">
        <is>
          <t>PROMETHEE</t>
        </is>
      </c>
      <c r="I21" s="8" t="inlineStr">
        <is>
          <t>Publisher full PDF; preference functions and flows, pp.650-654</t>
        </is>
      </c>
    </row>
    <row r="22" ht="88" customHeight="1">
      <c r="A22" s="8" t="inlineStr">
        <is>
          <t>R15</t>
        </is>
      </c>
      <c r="B22" s="8" t="inlineStr">
        <is>
          <t>Tradeoffs under certainty</t>
        </is>
      </c>
      <c r="C22" s="8" t="inlineStr">
        <is>
          <t>Ralph L. Keeney; Howard Raiffa</t>
        </is>
      </c>
      <c r="D22" s="8" t="n">
        <v>1993</v>
      </c>
      <c r="E22" s="8" t="inlineStr">
        <is>
          <t>Decisions with Multiple Objectives: Preferences and Value Trade-Offs</t>
        </is>
      </c>
      <c r="F22" s="8" t="inlineStr">
        <is>
          <t>10.1017/cbo9781139174084.005</t>
        </is>
      </c>
      <c r="G22" s="8" t="inlineStr">
        <is>
          <t>https://doi.org/10.1017/cbo9781139174084.005</t>
        </is>
      </c>
      <c r="H22" s="8" t="inlineStr">
        <is>
          <t>Additive preference assumptions</t>
        </is>
      </c>
      <c r="I22" s="8" t="inlineStr">
        <is>
          <t>Publisher chapter metadata; full methodological explanation corroborated by R16</t>
        </is>
      </c>
    </row>
    <row r="23" ht="88" customHeight="1">
      <c r="A23" s="8" t="inlineStr">
        <is>
          <t>R16</t>
        </is>
      </c>
      <c r="B23" s="8" t="inlineStr">
        <is>
          <t>Multi-criteria analysis: a manual</t>
        </is>
      </c>
      <c r="C23" s="8" t="inlineStr">
        <is>
          <t>Department for Communities and Local Government</t>
        </is>
      </c>
      <c r="D23" s="8" t="n">
        <v>2009</v>
      </c>
      <c r="E23" s="8" t="inlineStr">
        <is>
          <t>UK government methodological manual</t>
        </is>
      </c>
      <c r="F23" s="8" t="inlineStr">
        <is>
          <t>Not assigned / not used</t>
        </is>
      </c>
      <c r="G23" s="8" t="inlineStr">
        <is>
          <t>https://www.gov.uk/government/publications/multi-criteria-analysis-manual-for-making-government-policy</t>
        </is>
      </c>
      <c r="H23" s="8" t="inlineStr">
        <is>
          <t>Multi-criteria analysis: a manual</t>
        </is>
      </c>
      <c r="I23" s="8" t="inlineStr">
        <is>
          <t>Full text; section 4.7, chapter 6 and appendix 4</t>
        </is>
      </c>
    </row>
    <row r="24" ht="88" customHeight="1">
      <c r="A24" s="8" t="inlineStr">
        <is>
          <t>R17</t>
        </is>
      </c>
      <c r="B24" s="8" t="inlineStr">
        <is>
          <t>Travel Time Reliability: Making It There On Time, All The Time</t>
        </is>
      </c>
      <c r="C24" s="8" t="inlineStr">
        <is>
          <t>Federal Highway Administration</t>
        </is>
      </c>
      <c r="D24" s="8" t="n">
        <v>2006</v>
      </c>
      <c r="E24" s="8" t="inlineStr">
        <is>
          <t>FHWA technical guidance</t>
        </is>
      </c>
      <c r="F24" s="8" t="inlineStr">
        <is>
          <t>Not assigned / not used</t>
        </is>
      </c>
      <c r="G24" s="8" t="inlineStr">
        <is>
          <t>https://ops.fhwa.dot.gov/publications/tt_reliability/TTR_Report.htm</t>
        </is>
      </c>
      <c r="H24" s="8" t="inlineStr">
        <is>
          <t>Travel Time Reliability: Making It There On Time, All The Time</t>
        </is>
      </c>
      <c r="I24" s="8" t="inlineStr">
        <is>
          <t>Full text; our within-cohort tail measure is not day-to-day reliability</t>
        </is>
      </c>
    </row>
    <row r="25" ht="88" customHeight="1">
      <c r="A25" s="8" t="inlineStr">
        <is>
          <t>R18</t>
        </is>
      </c>
      <c r="B25" s="8" t="inlineStr">
        <is>
          <t>Microscopic Traffic Simulation using SUMO</t>
        </is>
      </c>
      <c r="C25" s="8" t="inlineStr">
        <is>
          <t>Pablo Alvarez Lopez; Michael Behrisch; Laura Bieker-Walz; Jakob Erdmann; Yun-Pang Flotterod; Robert Hilbrich; Leonhard Lucken; Johannes Rummel; Peter Wagner; Evamarie Wiessner</t>
        </is>
      </c>
      <c r="D25" s="8" t="n">
        <v>2018</v>
      </c>
      <c r="E25" s="8" t="inlineStr">
        <is>
          <t>2018 21st International Conference on Intelligent Transportation Systems (ITSC)</t>
        </is>
      </c>
      <c r="F25" s="8" t="inlineStr">
        <is>
          <t>10.1109/ITSC.2018.8569938</t>
        </is>
      </c>
      <c r="G25" s="8" t="inlineStr">
        <is>
          <t>https://doi.org/10.1109/ITSC.2018.8569938</t>
        </is>
      </c>
      <c r="H25" s="8" t="inlineStr">
        <is>
          <t>SUMO simulator</t>
        </is>
      </c>
      <c r="I25" s="8" t="inlineStr">
        <is>
          <t>Established primary methodological paper</t>
        </is>
      </c>
    </row>
    <row r="26" ht="88" customHeight="1">
      <c r="A26" s="8" t="inlineStr">
        <is>
          <t>R19</t>
        </is>
      </c>
      <c r="B26" s="8" t="inlineStr">
        <is>
          <t>TripInfo</t>
        </is>
      </c>
      <c r="C26" s="8" t="inlineStr">
        <is>
          <t>Eclipse SUMO developers</t>
        </is>
      </c>
      <c r="D26" s="8" t="n">
        <v>2026</v>
      </c>
      <c r="E26" s="8" t="inlineStr">
        <is>
          <t>Official documentation</t>
        </is>
      </c>
      <c r="F26" s="8" t="inlineStr">
        <is>
          <t>Not assigned / not used</t>
        </is>
      </c>
      <c r="G26" s="8" t="inlineStr">
        <is>
          <t>https://sumo.dlr.de/docs/Simulation/Output/TripInfo.html</t>
        </is>
      </c>
      <c r="H26" s="8" t="inlineStr">
        <is>
          <t>TripInfo</t>
        </is>
      </c>
      <c r="I26" s="8" t="inlineStr">
        <is>
          <t>Fields and units; accessed 14 September 2026</t>
        </is>
      </c>
    </row>
    <row r="27" ht="88" customHeight="1">
      <c r="A27" s="8" t="inlineStr">
        <is>
          <t>R20</t>
        </is>
      </c>
      <c r="B27" s="8" t="inlineStr">
        <is>
          <t>Emissions</t>
        </is>
      </c>
      <c r="C27" s="8" t="inlineStr">
        <is>
          <t>Eclipse SUMO developers</t>
        </is>
      </c>
      <c r="D27" s="8" t="n">
        <v>2026</v>
      </c>
      <c r="E27" s="8" t="inlineStr">
        <is>
          <t>Official documentation</t>
        </is>
      </c>
      <c r="F27" s="8" t="inlineStr">
        <is>
          <t>Not assigned / not used</t>
        </is>
      </c>
      <c r="G27" s="8" t="inlineStr">
        <is>
          <t>https://sumo.dlr.de/docs/Models/Emissions.html</t>
        </is>
      </c>
      <c r="H27" s="8" t="inlineStr">
        <is>
          <t>Emissions</t>
        </is>
      </c>
      <c r="I27" s="8" t="inlineStr">
        <is>
          <t>Model assumptions; accessed 14 September 2026</t>
        </is>
      </c>
    </row>
    <row r="28" ht="88" customHeight="1">
      <c r="A28" s="8" t="inlineStr">
        <is>
          <t>R21</t>
        </is>
      </c>
      <c r="B28" s="8" t="inlineStr">
        <is>
          <t>Lane- or Edge-based Emissions Measures</t>
        </is>
      </c>
      <c r="C28" s="8" t="inlineStr">
        <is>
          <t>Eclipse SUMO developers</t>
        </is>
      </c>
      <c r="D28" s="8" t="n">
        <v>2026</v>
      </c>
      <c r="E28" s="8" t="inlineStr">
        <is>
          <t>Official documentation</t>
        </is>
      </c>
      <c r="F28" s="8" t="inlineStr">
        <is>
          <t>Not assigned / not used</t>
        </is>
      </c>
      <c r="G28" s="8" t="inlineStr">
        <is>
          <t>https://sumo.dlr.de/docs/Simulation/Output/Lane-_or_Edge-based_Emissions_Measures.html</t>
        </is>
      </c>
      <c r="H28" s="8" t="inlineStr">
        <is>
          <t>Lane- or Edge-based Emissions Measures</t>
        </is>
      </c>
      <c r="I28" s="8" t="inlineStr">
        <is>
          <t>CO2_perVeh and CO2_abs distinction; accessed 14 September 2026</t>
        </is>
      </c>
    </row>
    <row r="29" ht="88" customHeight="1">
      <c r="A29" s="8" t="inlineStr">
        <is>
          <t>R22</t>
        </is>
      </c>
      <c r="B29" s="8" t="inlineStr">
        <is>
          <t>Lane- or Edge-based Traffic Measures</t>
        </is>
      </c>
      <c r="C29" s="8" t="inlineStr">
        <is>
          <t>Eclipse SUMO developers</t>
        </is>
      </c>
      <c r="D29" s="8" t="n">
        <v>2026</v>
      </c>
      <c r="E29" s="8" t="inlineStr">
        <is>
          <t>Official documentation</t>
        </is>
      </c>
      <c r="F29" s="8" t="inlineStr">
        <is>
          <t>Not assigned / not used</t>
        </is>
      </c>
      <c r="G29" s="8" t="inlineStr">
        <is>
          <t>https://sumo.dlr.de/docs/Simulation/Output/Lane-_or_Edge-based_Traffic_Measures.html</t>
        </is>
      </c>
      <c r="H29" s="8" t="inlineStr">
        <is>
          <t>Lane- or Edge-based Traffic Measures</t>
        </is>
      </c>
      <c r="I29" s="8" t="inlineStr">
        <is>
          <t>Snapshot traveltime is estimated from speed; accessed 14 September 2026</t>
        </is>
      </c>
    </row>
    <row r="30" ht="88" customHeight="1">
      <c r="A30" s="8" t="inlineStr">
        <is>
          <t>R23</t>
        </is>
      </c>
      <c r="B30" s="8" t="inlineStr">
        <is>
          <t>Decision Trees</t>
        </is>
      </c>
      <c r="C30" s="8" t="inlineStr">
        <is>
          <t>Scikit-learn developers</t>
        </is>
      </c>
      <c r="D30" s="8" t="n">
        <v>2026</v>
      </c>
      <c r="E30" s="8" t="inlineStr">
        <is>
          <t>Version 1.8 official documentation</t>
        </is>
      </c>
      <c r="F30" s="8" t="inlineStr">
        <is>
          <t>Not assigned / not used</t>
        </is>
      </c>
      <c r="G30" s="8" t="inlineStr">
        <is>
          <t>https://scikit-learn.org/1.8/modules/tree.html</t>
        </is>
      </c>
      <c r="H30" s="8" t="inlineStr">
        <is>
          <t>Decision Trees</t>
        </is>
      </c>
      <c r="I30" s="8" t="inlineStr">
        <is>
          <t>Sections 1.10.3 and 1.10.7; fixed project version, not a claim about latest release</t>
        </is>
      </c>
    </row>
    <row r="31" ht="88" customHeight="1">
      <c r="A31" s="8" t="inlineStr">
        <is>
          <t>R24</t>
        </is>
      </c>
      <c r="B31" s="8" t="inlineStr">
        <is>
          <t>Robust Discrete Optimization and Its Applications</t>
        </is>
      </c>
      <c r="C31" s="8" t="inlineStr">
        <is>
          <t>Panos Kouvelis; Gang Yu</t>
        </is>
      </c>
      <c r="D31" s="8" t="n">
        <v>1997</v>
      </c>
      <c r="E31" s="8" t="inlineStr">
        <is>
          <t>Nonconvex Optimization and Its Applications</t>
        </is>
      </c>
      <c r="F31" s="8" t="inlineStr">
        <is>
          <t>10.1007/978-1-4757-2620-6</t>
        </is>
      </c>
      <c r="G31" s="8" t="inlineStr">
        <is>
          <t>https://doi.org/10.1007/978-1-4757-2620-6</t>
        </is>
      </c>
      <c r="H31" s="8" t="inlineStr">
        <is>
          <t>Minimax regret</t>
        </is>
      </c>
      <c r="I31" s="8" t="inlineStr">
        <is>
          <t>Publisher book metadata; standard robust discrete optimization concept</t>
        </is>
      </c>
    </row>
    <row r="32" ht="88" customHeight="1">
      <c r="A32" s="8" t="inlineStr">
        <is>
          <t>R25</t>
        </is>
      </c>
      <c r="B32" s="8" t="inlineStr">
        <is>
          <t>Full factorial designs</t>
        </is>
      </c>
      <c r="C32" s="8" t="inlineStr">
        <is>
          <t>NIST/SEMATECH</t>
        </is>
      </c>
      <c r="D32" s="8" t="n">
        <v>2026</v>
      </c>
      <c r="E32" s="8" t="inlineStr">
        <is>
          <t>e-Handbook of Statistical Methods, section 5.3.3.3</t>
        </is>
      </c>
      <c r="F32" s="8" t="inlineStr">
        <is>
          <t>Not assigned / not used</t>
        </is>
      </c>
      <c r="G32" s="8" t="inlineStr">
        <is>
          <t>https://www.itl.nist.gov/div898/handbook/pri/section3/pri333.htm</t>
        </is>
      </c>
      <c r="H32" s="8" t="inlineStr">
        <is>
          <t>Full factorial designs</t>
        </is>
      </c>
      <c r="I32" s="8" t="inlineStr">
        <is>
          <t>General crossing principle; mixed levels and exact count are our design</t>
        </is>
      </c>
    </row>
    <row r="33" ht="88" customHeight="1">
      <c r="A33" s="8" t="inlineStr">
        <is>
          <t>R26</t>
        </is>
      </c>
      <c r="B33" s="8" t="inlineStr">
        <is>
          <t>Some Guidelines and Guarantees for Common Random Numbers</t>
        </is>
      </c>
      <c r="C33" s="8" t="inlineStr">
        <is>
          <t>Paul Glasserman; David D. Yao</t>
        </is>
      </c>
      <c r="D33" s="8" t="n">
        <v>1992</v>
      </c>
      <c r="E33" s="8" t="inlineStr">
        <is>
          <t>Management Science</t>
        </is>
      </c>
      <c r="F33" s="8" t="inlineStr">
        <is>
          <t>10.1287/mnsc.38.6.884</t>
        </is>
      </c>
      <c r="G33" s="8" t="inlineStr">
        <is>
          <t>https://doi.org/10.1287/mnsc.38.6.884</t>
        </is>
      </c>
      <c r="H33" s="8" t="inlineStr">
        <is>
          <t>Common random numbers</t>
        </is>
      </c>
      <c r="I33" s="8" t="inlineStr">
        <is>
          <t>Author repository / publisher abstract</t>
        </is>
      </c>
    </row>
    <row r="34" ht="88" customHeight="1">
      <c r="A34" s="8" t="inlineStr">
        <is>
          <t>R27</t>
        </is>
      </c>
      <c r="B34" s="8" t="inlineStr">
        <is>
          <t>Sample Quantiles in Statistical Packages</t>
        </is>
      </c>
      <c r="C34" s="8" t="inlineStr">
        <is>
          <t>Rob J. Hyndman; Yanan Fan</t>
        </is>
      </c>
      <c r="D34" s="8" t="n">
        <v>1996</v>
      </c>
      <c r="E34" s="8" t="inlineStr">
        <is>
          <t>The American Statistician</t>
        </is>
      </c>
      <c r="F34" s="8" t="inlineStr">
        <is>
          <t>10.1080/00031305.1996.10473566</t>
        </is>
      </c>
      <c r="G34" s="8" t="inlineStr">
        <is>
          <t>https://doi.org/10.1080/00031305.1996.10473566</t>
        </is>
      </c>
      <c r="H34" s="8" t="inlineStr">
        <is>
          <t>Quantile conventions</t>
        </is>
      </c>
      <c r="I34" s="8" t="inlineStr">
        <is>
          <t>Publisher metadata; type-7 convention explicitly chosen by this study</t>
        </is>
      </c>
    </row>
    <row r="35" ht="88" customHeight="1">
      <c r="A35" s="8" t="inlineStr">
        <is>
          <t>R28</t>
        </is>
      </c>
      <c r="B35" s="8" t="inlineStr">
        <is>
          <t>How to make a decision: The analytic hierarchy process</t>
        </is>
      </c>
      <c r="C35" s="8" t="inlineStr">
        <is>
          <t>Thomas L. Saaty</t>
        </is>
      </c>
      <c r="D35" s="8" t="n">
        <v>1990</v>
      </c>
      <c r="E35" s="8" t="inlineStr">
        <is>
          <t>European Journal of Operational Research 48(1)</t>
        </is>
      </c>
      <c r="F35" s="8" t="inlineStr">
        <is>
          <t>10.1016/0377-2217(90)90057-I</t>
        </is>
      </c>
      <c r="G35" s="8" t="inlineStr">
        <is>
          <t>https://doi.org/10.1016/0377-2217(90)90057-I</t>
        </is>
      </c>
      <c r="H35" s="8" t="inlineStr">
        <is>
          <t>AHP weights</t>
        </is>
      </c>
      <c r="I35" s="8" t="inlineStr">
        <is>
          <t>Publisher metadata; not implemented</t>
        </is>
      </c>
    </row>
    <row r="36" ht="88" customHeight="1">
      <c r="A36" s="8" t="inlineStr">
        <is>
          <t>R29</t>
        </is>
      </c>
      <c r="B36" s="8" t="inlineStr">
        <is>
          <t>Evaluation of optimal route selection for public transport network routes on urban roads using Fuzzy‐TOPSIS method</t>
        </is>
      </c>
      <c r="C36" s="8" t="inlineStr">
        <is>
          <t>K. A. Madhu; H. N. Rajakumara; Mohd Zain Kangda; S. P. Girija; Ganta Raghotham Reddy; Anteneh Wogasso Wodajo</t>
        </is>
      </c>
      <c r="D36" s="8" t="n">
        <v>2023</v>
      </c>
      <c r="E36" s="8" t="inlineStr">
        <is>
          <t>Engineering Reports</t>
        </is>
      </c>
      <c r="F36" s="8" t="inlineStr">
        <is>
          <t>10.1002/eng2.12794</t>
        </is>
      </c>
      <c r="G36" s="8" t="inlineStr">
        <is>
          <t>https://doi.org/10.1002/eng2.12794</t>
        </is>
      </c>
      <c r="H36" s="8" t="inlineStr">
        <is>
          <t>Fuzzy-TOPSIS public transport</t>
        </is>
      </c>
      <c r="I36" s="8" t="inlineStr">
        <is>
          <t>Publisher full page; a fuzzy application, not our crisp formulation</t>
        </is>
      </c>
    </row>
    <row r="37" ht="88" customHeight="1">
      <c r="A37" s="8" t="inlineStr">
        <is>
          <t>R30</t>
        </is>
      </c>
      <c r="B37" s="8" t="inlineStr">
        <is>
          <t>Multicriteria decision-making in railway route planning and design</t>
        </is>
      </c>
      <c r="C37" s="8" t="inlineStr">
        <is>
          <t>Milana Kosijer; Milos Ivic; Milan Markovic; Ivan Belosevic</t>
        </is>
      </c>
      <c r="D37" s="8" t="n">
        <v>2012</v>
      </c>
      <c r="E37" s="8" t="inlineStr">
        <is>
          <t>Gradevinar 64(3)</t>
        </is>
      </c>
      <c r="F37" s="8" t="inlineStr">
        <is>
          <t>10.14256/jce.645.2011</t>
        </is>
      </c>
      <c r="G37" s="8" t="inlineStr">
        <is>
          <t>https://doi.org/10.14256/jce.645.2011</t>
        </is>
      </c>
      <c r="H37" s="8" t="inlineStr">
        <is>
          <t>Rail route VIKOR</t>
        </is>
      </c>
      <c r="I37" s="8" t="inlineStr">
        <is>
          <t>Full original paper inspected via public PDF; section 3.3 pp.200-201 equations 7-11; DQ capped at 0.25</t>
        </is>
      </c>
    </row>
    <row r="38" ht="88" customHeight="1">
      <c r="A38" s="8" t="inlineStr">
        <is>
          <t>R31</t>
        </is>
      </c>
      <c r="B38" s="8" t="inlineStr">
        <is>
          <t>Mobilidade em centros urbanos por circuitos de caminhada utilizando o metodo multicriterio PROMETHEE, estudo de caso de Campinas</t>
        </is>
      </c>
      <c r="C38" s="8" t="inlineStr">
        <is>
          <t>Marcius Fabius Carvalho; Guilherme Kato Rodrigues; Claudia Cotrim Pezzuto; Lia Toledo Moreira Mota; Marina Lavorato de Oliveira</t>
        </is>
      </c>
      <c r="D38" s="8" t="n">
        <v>2021</v>
      </c>
      <c r="E38" s="8" t="inlineStr">
        <is>
          <t>urbe. Revista Brasileira de Gestao Urbana 13</t>
        </is>
      </c>
      <c r="F38" s="8" t="inlineStr">
        <is>
          <t>10.1590/2175-3369.013.e20210087</t>
        </is>
      </c>
      <c r="G38" s="8" t="inlineStr">
        <is>
          <t>https://doi.org/10.1590/2175-3369.013.e20210087</t>
        </is>
      </c>
      <c r="H38" s="8" t="inlineStr">
        <is>
          <t>Walking route PROMETHEE</t>
        </is>
      </c>
      <c r="I38" s="8" t="inlineStr">
        <is>
          <t>Publisher indexed record; application details not fully extracted</t>
        </is>
      </c>
    </row>
    <row r="39" ht="88" customHeight="1">
      <c r="A39" s="8" t="inlineStr">
        <is>
          <t>R32</t>
        </is>
      </c>
      <c r="B39" s="8" t="inlineStr">
        <is>
          <t>Spatial system perspective of understanding “fuel-sensitive routes” using regional-scale case studies</t>
        </is>
      </c>
      <c r="C39" s="8" t="inlineStr">
        <is>
          <t>Bingyu Zhao; Kenichi Soga; Masahiko Iwama</t>
        </is>
      </c>
      <c r="D39" s="8" t="n">
        <v>2024</v>
      </c>
      <c r="E39" s="8" t="inlineStr">
        <is>
          <t>Transportation Research Part D: Transport and Environment</t>
        </is>
      </c>
      <c r="F39" s="8" t="inlineStr">
        <is>
          <t>10.1016/j.trd.2024.104203</t>
        </is>
      </c>
      <c r="G39" s="8" t="inlineStr">
        <is>
          <t>https://doi.org/10.1016/j.trd.2024.104203</t>
        </is>
      </c>
      <c r="H39" s="8" t="inlineStr">
        <is>
          <t>Network externalities of eco-routing</t>
        </is>
      </c>
      <c r="I39" s="8" t="inlineStr">
        <is>
          <t>Author repository / publisher abstract</t>
        </is>
      </c>
    </row>
    <row r="40" ht="88" customHeight="1">
      <c r="A40" s="8" t="inlineStr">
        <is>
          <t>R33</t>
        </is>
      </c>
      <c r="B40" s="8" t="inlineStr">
        <is>
          <t>An ontology-driven digital-twin SDSS integrating machine-learning travel-time forecasting for explainable and sustainability-aware urban routing: a corridor-scale study in Tehran</t>
        </is>
      </c>
      <c r="C40" s="8" t="inlineStr">
        <is>
          <t>Zahra Rezaei; Alireza Sharifi</t>
        </is>
      </c>
      <c r="D40" s="8" t="n">
        <v>2026</v>
      </c>
      <c r="E40" s="8" t="inlineStr">
        <is>
          <t>City and Environment Interactions</t>
        </is>
      </c>
      <c r="F40" s="8" t="inlineStr">
        <is>
          <t>10.1016/j.cacint.2026.100441</t>
        </is>
      </c>
      <c r="G40" s="8" t="inlineStr">
        <is>
          <t>https://doi.org/10.1016/j.cacint.2026.100441</t>
        </is>
      </c>
      <c r="H40" s="8" t="inlineStr">
        <is>
          <t>Recent routing decision support</t>
        </is>
      </c>
      <c r="I40" s="8" t="inlineStr">
        <is>
          <t>Publisher indexed abstract and Crossref metadata; full text not accessible</t>
        </is>
      </c>
    </row>
    <row r="41" ht="88" customHeight="1">
      <c r="A41" s="8" t="inlineStr">
        <is>
          <t>R34</t>
        </is>
      </c>
      <c r="B41" s="8" t="inlineStr">
        <is>
          <t>Smart route: an integrated path optimization algorithm for mitigating traffic congestion and air pollution in urban environments</t>
        </is>
      </c>
      <c r="C41" s="8" t="inlineStr">
        <is>
          <t>S. Parkavi; A. Parthiban</t>
        </is>
      </c>
      <c r="D41" s="8" t="n">
        <v>2026</v>
      </c>
      <c r="E41" s="8" t="inlineStr">
        <is>
          <t>Frontiers in Sustainable Cities</t>
        </is>
      </c>
      <c r="F41" s="8" t="inlineStr">
        <is>
          <t>10.3389/frsc.2026.1759665</t>
        </is>
      </c>
      <c r="G41" s="8" t="inlineStr">
        <is>
          <t>https://doi.org/10.3389/frsc.2026.1759665</t>
        </is>
      </c>
      <c r="H41" s="8" t="inlineStr">
        <is>
          <t>Recent sustainable routing</t>
        </is>
      </c>
      <c r="I41" s="8" t="inlineStr">
        <is>
          <t>Publisher full text</t>
        </is>
      </c>
    </row>
    <row r="42" ht="88" customHeight="1">
      <c r="A42" s="8" t="inlineStr">
        <is>
          <t>R35</t>
        </is>
      </c>
      <c r="B42" s="8" t="inlineStr">
        <is>
          <t>Simulation/Routing</t>
        </is>
      </c>
      <c r="C42" s="8" t="inlineStr">
        <is>
          <t>Eclipse SUMO developers</t>
        </is>
      </c>
      <c r="D42" s="8" t="n">
        <v>2026</v>
      </c>
      <c r="E42" s="8" t="inlineStr">
        <is>
          <t>Official documentation</t>
        </is>
      </c>
      <c r="F42" s="8" t="inlineStr">
        <is>
          <t>Not assigned / not used</t>
        </is>
      </c>
      <c r="G42" s="8" t="inlineStr">
        <is>
          <t>https://sumo.dlr.de/docs/Simulation/Routing.html</t>
        </is>
      </c>
      <c r="H42" s="8" t="inlineStr">
        <is>
          <t>Simulation/Routing</t>
        </is>
      </c>
      <c r="I42" s="8" t="inlineStr">
        <is>
          <t>Edge weights and routing; accessed 14 September 2026</t>
        </is>
      </c>
    </row>
    <row r="43" ht="88" customHeight="1">
      <c r="A43" s="8" t="inlineStr">
        <is>
          <t>R36</t>
        </is>
      </c>
      <c r="B43" s="8" t="inlineStr">
        <is>
          <t>MSMeanData_Emissions.cpp</t>
        </is>
      </c>
      <c r="C43" s="8" t="inlineStr">
        <is>
          <t>Eclipse SUMO developers</t>
        </is>
      </c>
      <c r="D43" s="8" t="n">
        <v>2025</v>
      </c>
      <c r="E43" s="8" t="inlineStr">
        <is>
          <t>SUMO source code, tag v1_25_0</t>
        </is>
      </c>
      <c r="F43" s="8" t="inlineStr">
        <is>
          <t>Not assigned / not used</t>
        </is>
      </c>
      <c r="G43" s="8" t="inlineStr">
        <is>
          <t>https://github.com/eclipse-sumo/sumo/blob/v1_25_0/src/microsim/output/MSMeanData_Emissions.cpp</t>
        </is>
      </c>
      <c r="H43" s="8" t="inlineStr">
        <is>
          <t>Exact CO2_perVeh implementation semantics</t>
        </is>
      </c>
      <c r="I43" s="8" t="inlineStr">
        <is>
          <t>Pinned primary source code inspected; mean-data write method</t>
        </is>
      </c>
    </row>
    <row r="44" ht="88" customHeight="1">
      <c r="A44" s="8" t="inlineStr">
        <is>
          <t>R37</t>
        </is>
      </c>
      <c r="B44" s="8" t="inlineStr">
        <is>
          <t>Classification and Regression Trees</t>
        </is>
      </c>
      <c r="C44" s="8" t="inlineStr">
        <is>
          <t>Leo Breiman; Jerome H. Friedman; Richard A. Olshen; Charles J. Stone</t>
        </is>
      </c>
      <c r="D44" s="8" t="n">
        <v>2017</v>
      </c>
      <c r="E44" s="8" t="inlineStr">
        <is>
          <t>Routledge, electronic edition of the classic CART monograph</t>
        </is>
      </c>
      <c r="F44" s="8" t="inlineStr">
        <is>
          <t>10.1201/9781315139470</t>
        </is>
      </c>
      <c r="G44" s="8" t="inlineStr">
        <is>
          <t>https://doi.org/10.1201/9781315139470</t>
        </is>
      </c>
      <c r="H44" s="8" t="inlineStr">
        <is>
          <t>CART foundational monograph; implementation details in R23</t>
        </is>
      </c>
      <c r="I44" s="8" t="inlineStr">
        <is>
          <t>Publisher-deposited metadata verified; 2017 is the electronic-edition date, not the origin of CART</t>
        </is>
      </c>
    </row>
    <row r="45" ht="88" customHeight="1">
      <c r="A45" s="8" t="inlineStr">
        <is>
          <t>R38</t>
        </is>
      </c>
      <c r="B45" s="8" t="inlineStr">
        <is>
          <t>Unified Route Choice Framework: Specification and Application to Urban Traffic Control</t>
        </is>
      </c>
      <c r="C45" s="8" t="inlineStr">
        <is>
          <t>Xiao-Feng Xie; Yiheng Feng; Stephen F. Smith; K. Larry Head</t>
        </is>
      </c>
      <c r="D45" s="8" t="n">
        <v>2014</v>
      </c>
      <c r="E45" s="8" t="inlineStr">
        <is>
          <t>Transportation Research Record: Journal of the Transportation Research Board</t>
        </is>
      </c>
      <c r="F45" s="8" t="inlineStr">
        <is>
          <t>10.3141/2466-12</t>
        </is>
      </c>
      <c r="G45" s="8" t="inlineStr">
        <is>
          <t>https://doi.org/10.3141/2466-12</t>
        </is>
      </c>
      <c r="H45" s="8" t="inlineStr">
        <is>
          <t>Route choice model comparison and prospective meta-selection</t>
        </is>
      </c>
      <c r="I45" s="8" t="inlineStr">
        <is>
          <t>Full author conference version inspected; journal metadata verified</t>
        </is>
      </c>
    </row>
    <row r="46" ht="88" customHeight="1">
      <c r="A46" s="8" t="inlineStr">
        <is>
          <t>R39</t>
        </is>
      </c>
      <c r="B46" s="8" t="inlineStr">
        <is>
          <t>Algorithm portfolios for logistics optimization considering stochastic demands and mobility allowance</t>
        </is>
      </c>
      <c r="C46" s="8" t="inlineStr">
        <is>
          <t>Nagesh Shukla; A.K. Choudhary; P.K.S. Prakash; K.J. Fernandes; M.K. Tiwari</t>
        </is>
      </c>
      <c r="D46" s="8" t="n">
        <v>2013</v>
      </c>
      <c r="E46" s="8" t="inlineStr">
        <is>
          <t>International Journal of Production Economics</t>
        </is>
      </c>
      <c r="F46" s="8" t="inlineStr">
        <is>
          <t>10.1016/j.ijpe.2012.07.007</t>
        </is>
      </c>
      <c r="G46" s="8" t="inlineStr">
        <is>
          <t>https://doi.org/10.1016/j.ijpe.2012.07.007</t>
        </is>
      </c>
      <c r="H46" s="8" t="inlineStr">
        <is>
          <t>Logistics algorithm portfolio overlap</t>
        </is>
      </c>
      <c r="I46" s="8" t="inlineStr">
        <is>
          <t>Publisher-deposited metadata only; details not inferred</t>
        </is>
      </c>
    </row>
    <row r="47" ht="88" customHeight="1">
      <c r="A47" s="8" t="inlineStr">
        <is>
          <t>R40</t>
        </is>
      </c>
      <c r="B47" s="8" t="inlineStr">
        <is>
          <t>Prediction of vehicle CO2 emission and its application to eco-routing navigation</t>
        </is>
      </c>
      <c r="C47" s="8" t="inlineStr">
        <is>
          <t>Weiliang Zeng; Tomio Miwa; Takayuki Morikawa</t>
        </is>
      </c>
      <c r="D47" s="8" t="n">
        <v>2016</v>
      </c>
      <c r="E47" s="8" t="inlineStr">
        <is>
          <t>Transportation Research Part C: Emerging Technologies</t>
        </is>
      </c>
      <c r="F47" s="8" t="inlineStr">
        <is>
          <t>10.1016/j.trc.2016.04.007</t>
        </is>
      </c>
      <c r="G47" s="8" t="inlineStr">
        <is>
          <t>https://www.sciencedirect.com/science/article/pii/S0968090X16300110</t>
        </is>
      </c>
      <c r="H47" s="8" t="inlineStr">
        <is>
          <t>Prediction then environmental routing</t>
        </is>
      </c>
      <c r="I47" s="8" t="inlineStr">
        <is>
          <t>Publisher record and Crossref metadata; full equations not retrieved</t>
        </is>
      </c>
    </row>
    <row r="48" ht="24" customHeight="1">
      <c r="A48" s="31" t="n"/>
      <c r="B48" s="31" t="n"/>
      <c r="C48" s="31" t="n"/>
      <c r="D48" s="31" t="n"/>
      <c r="E48" s="31" t="n"/>
      <c r="F48" s="31" t="n"/>
      <c r="G48" s="31" t="n"/>
      <c r="H48" s="31" t="n"/>
      <c r="I48" s="31" t="n"/>
    </row>
    <row r="49" ht="24" customHeight="1">
      <c r="A49" s="31" t="n"/>
      <c r="B49" s="31" t="n"/>
      <c r="C49" s="31" t="n"/>
      <c r="D49" s="31" t="n"/>
      <c r="E49" s="31" t="n"/>
      <c r="F49" s="31" t="n"/>
      <c r="G49" s="31" t="n"/>
      <c r="H49" s="31" t="n"/>
      <c r="I49" s="31" t="n"/>
    </row>
    <row r="50" ht="24" customHeight="1">
      <c r="A50" s="31" t="n"/>
      <c r="B50" s="31" t="n"/>
      <c r="C50" s="31" t="n"/>
      <c r="D50" s="31" t="n"/>
      <c r="E50" s="31" t="n"/>
      <c r="F50" s="31" t="n"/>
      <c r="G50" s="31" t="n"/>
      <c r="H50" s="31" t="n"/>
      <c r="I50" s="3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F27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22" customWidth="1" min="3" max="3"/>
    <col width="18" customWidth="1" min="4" max="4"/>
    <col width="18" customWidth="1" min="5" max="5"/>
    <col width="26" customWidth="1" min="6" max="6"/>
  </cols>
  <sheetData>
    <row r="2">
      <c r="A2" s="50" t="inlineStr">
        <is>
          <t>Regime structure of routing-policy preference</t>
        </is>
      </c>
    </row>
    <row r="4">
      <c r="A4" t="inlineStr">
        <is>
          <t>Switching margin m = C(SP) - C(DTT) in common cost units, balanced profile. Negative: SP preferred. Derived from the 432 completed runs; no new simulation.</t>
        </is>
      </c>
    </row>
    <row r="7">
      <c r="A7" s="51" t="inlineStr">
        <is>
          <t>Signal</t>
        </is>
      </c>
      <c r="B7" s="51" t="inlineStr">
        <is>
          <t>Restriction</t>
        </is>
      </c>
      <c r="C7" s="51" t="inlineStr">
        <is>
          <t>m @ q=720</t>
        </is>
      </c>
      <c r="D7" s="51" t="inlineStr">
        <is>
          <t>m @ q=1200</t>
        </is>
      </c>
      <c r="E7" s="51" t="inlineStr">
        <is>
          <t>m @ q=1680</t>
        </is>
      </c>
      <c r="F7" s="51" t="inlineStr">
        <is>
          <t>Crossing bracket (veh/h)</t>
        </is>
      </c>
    </row>
    <row r="8">
      <c r="A8" t="inlineStr">
        <is>
          <t>Balanced</t>
        </is>
      </c>
      <c r="B8" t="inlineStr">
        <is>
          <t>None</t>
        </is>
      </c>
      <c r="C8" t="n">
        <v>-0.05509711734680089</v>
      </c>
      <c r="D8" t="n">
        <v>0.4203769314421386</v>
      </c>
      <c r="E8" t="n">
        <v>1.013935826516468</v>
      </c>
      <c r="F8" t="inlineStr">
        <is>
          <t>(720, 1200]</t>
        </is>
      </c>
    </row>
    <row r="9">
      <c r="A9" t="inlineStr">
        <is>
          <t>Balanced</t>
        </is>
      </c>
      <c r="B9" t="inlineStr">
        <is>
          <t>U</t>
        </is>
      </c>
      <c r="C9" t="n">
        <v>-0.05148265091599558</v>
      </c>
      <c r="D9" t="n">
        <v>0.4381848140996072</v>
      </c>
      <c r="E9" t="n">
        <v>0.9418408773530573</v>
      </c>
      <c r="F9" t="inlineStr">
        <is>
          <t>(720, 1200]</t>
        </is>
      </c>
    </row>
    <row r="10">
      <c r="A10" t="inlineStr">
        <is>
          <t>Balanced</t>
        </is>
      </c>
      <c r="B10" t="inlineStr">
        <is>
          <t>C</t>
        </is>
      </c>
      <c r="C10" t="n">
        <v>-0.01947868129058361</v>
      </c>
      <c r="D10" t="n">
        <v>0.8055589594708575</v>
      </c>
      <c r="E10" t="n">
        <v>1.113682867722139</v>
      </c>
      <c r="F10" t="inlineStr">
        <is>
          <t>(720, 1200]</t>
        </is>
      </c>
    </row>
    <row r="11">
      <c r="A11" t="inlineStr">
        <is>
          <t>Balanced</t>
        </is>
      </c>
      <c r="B11" t="inlineStr">
        <is>
          <t>L</t>
        </is>
      </c>
      <c r="C11" t="n">
        <v>-0.05622078660653562</v>
      </c>
      <c r="D11" t="n">
        <v>0.4195698475031021</v>
      </c>
      <c r="E11" t="n">
        <v>1.013420893153666</v>
      </c>
      <c r="F11" t="inlineStr">
        <is>
          <t>(720, 1200]</t>
        </is>
      </c>
    </row>
    <row r="12">
      <c r="A12" t="inlineStr">
        <is>
          <t>Arterial</t>
        </is>
      </c>
      <c r="B12" t="inlineStr">
        <is>
          <t>None</t>
        </is>
      </c>
      <c r="C12" t="n">
        <v>-0.01837634243532893</v>
      </c>
      <c r="D12" t="n">
        <v>-0.1268756028895663</v>
      </c>
      <c r="E12" t="n">
        <v>0.3248541636194302</v>
      </c>
      <c r="F12" t="inlineStr">
        <is>
          <t>(1200, 1680]</t>
        </is>
      </c>
    </row>
    <row r="13">
      <c r="A13" t="inlineStr">
        <is>
          <t>Arterial</t>
        </is>
      </c>
      <c r="B13" t="inlineStr">
        <is>
          <t>U</t>
        </is>
      </c>
      <c r="C13" t="n">
        <v>-0.01983353497198082</v>
      </c>
      <c r="D13" t="n">
        <v>-0.1317566659374096</v>
      </c>
      <c r="E13" t="n">
        <v>0.3165482770880657</v>
      </c>
      <c r="F13" t="inlineStr">
        <is>
          <t>(1200, 1680]</t>
        </is>
      </c>
    </row>
    <row r="14">
      <c r="A14" t="inlineStr">
        <is>
          <t>Arterial</t>
        </is>
      </c>
      <c r="B14" t="inlineStr">
        <is>
          <t>C</t>
        </is>
      </c>
      <c r="C14" t="n">
        <v>-0.04230273554811514</v>
      </c>
      <c r="D14" t="n">
        <v>0.04879355285731646</v>
      </c>
      <c r="E14" t="n">
        <v>0.3893372485706939</v>
      </c>
      <c r="F14" t="inlineStr">
        <is>
          <t>(720, 1200]</t>
        </is>
      </c>
    </row>
    <row r="15">
      <c r="A15" t="inlineStr">
        <is>
          <t>Arterial</t>
        </is>
      </c>
      <c r="B15" t="inlineStr">
        <is>
          <t>L</t>
        </is>
      </c>
      <c r="C15" t="n">
        <v>-0.01098147129839222</v>
      </c>
      <c r="D15" t="n">
        <v>-0.09541238083962922</v>
      </c>
      <c r="E15" t="n">
        <v>0.2952251878786099</v>
      </c>
      <c r="F15" t="inlineStr">
        <is>
          <t>(1200, 1680]</t>
        </is>
      </c>
    </row>
    <row r="18">
      <c r="A18" s="51" t="inlineStr">
        <is>
          <t>Worst-policy regret by demand</t>
        </is>
      </c>
    </row>
    <row r="19">
      <c r="A19" t="inlineStr">
        <is>
          <t>q=720</t>
        </is>
      </c>
      <c r="B19" t="n">
        <v>0.0342216650517166</v>
      </c>
    </row>
    <row r="20">
      <c r="A20" t="inlineStr">
        <is>
          <t>q=1200</t>
        </is>
      </c>
      <c r="B20" t="n">
        <v>0.3228937034242041</v>
      </c>
    </row>
    <row r="21">
      <c r="A21" t="inlineStr">
        <is>
          <t>q=1680</t>
        </is>
      </c>
      <c r="B21" t="n">
        <v>0.6761056677377661</v>
      </c>
    </row>
    <row r="23">
      <c r="A23" s="51" t="inlineStr">
        <is>
          <t>Seed stability</t>
        </is>
      </c>
    </row>
    <row r="24">
      <c r="A24" t="inlineStr">
        <is>
          <t>contexts with identical winner in all 3 seeds</t>
        </is>
      </c>
      <c r="B24" t="n">
        <v>20</v>
      </c>
      <c r="C24" t="inlineStr">
        <is>
          <t>of 24</t>
        </is>
      </c>
    </row>
    <row r="25">
      <c r="A25" t="inlineStr">
        <is>
          <t>contexts with stable margin sign</t>
        </is>
      </c>
      <c r="B25" t="n">
        <v>22</v>
      </c>
      <c r="C25" t="inlineStr">
        <is>
          <t>of 24</t>
        </is>
      </c>
    </row>
    <row r="26">
      <c r="A26" t="inlineStr">
        <is>
          <t>unstable contexts</t>
        </is>
      </c>
      <c r="B26" t="inlineStr">
        <is>
          <t>D005, D009, D011, D015</t>
        </is>
      </c>
    </row>
    <row r="27">
      <c r="A27" t="inlineStr">
        <is>
          <t>LIMITATION</t>
        </is>
      </c>
      <c r="B27" t="inlineStr">
        <is>
          <t>Demand grid is 480 veh/h coarse: the reversal is BRACKETED, not localised. No threshold estimate is made.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E54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22" customWidth="1" min="3" max="3"/>
    <col width="18" customWidth="1" min="4" max="4"/>
    <col width="18" customWidth="1" min="5" max="5"/>
    <col width="26" customWidth="1" min="6" max="6"/>
  </cols>
  <sheetData>
    <row r="2">
      <c r="A2" s="50" t="inlineStr">
        <is>
          <t>Held-out routing-policy selection (leave-one-context-out)</t>
        </is>
      </c>
    </row>
    <row r="4">
      <c r="A4" t="inlineStr">
        <is>
          <t>Portfolio SP/DTT/TECO10. Model and reference scales refit per fold; test context never seen. No new simulation.</t>
        </is>
      </c>
    </row>
    <row r="7">
      <c r="A7" s="51" t="inlineStr">
        <is>
          <t>Method</t>
        </is>
      </c>
      <c r="B7" s="51" t="inlineStr">
        <is>
          <t>Mean regret</t>
        </is>
      </c>
      <c r="C7" s="51" t="inlineStr">
        <is>
          <t>Max regret</t>
        </is>
      </c>
      <c r="D7" s="51" t="inlineStr">
        <is>
          <t>Optimal /24</t>
        </is>
      </c>
      <c r="E7" s="51" t="inlineStr">
        <is>
          <t>Within 1% /24</t>
        </is>
      </c>
    </row>
    <row r="8">
      <c r="A8" t="inlineStr">
        <is>
          <t>Fixed SP</t>
        </is>
      </c>
      <c r="B8" t="n">
        <v>0.3182479299845482</v>
      </c>
      <c r="C8" t="n">
        <v>1.113682867722139</v>
      </c>
      <c r="D8" t="n">
        <v>11</v>
      </c>
      <c r="E8" t="n">
        <v>11</v>
      </c>
    </row>
    <row r="9">
      <c r="A9" t="inlineStr">
        <is>
          <t>Fixed DTT (best fixed)</t>
        </is>
      </c>
      <c r="B9" t="n">
        <v>0.03018495176809767</v>
      </c>
      <c r="C9" t="n">
        <v>0.1317566659374096</v>
      </c>
      <c r="D9" t="n">
        <v>10</v>
      </c>
      <c r="E9" t="n">
        <v>11</v>
      </c>
    </row>
    <row r="10">
      <c r="A10" t="inlineStr">
        <is>
          <t>Fixed TECO10</t>
        </is>
      </c>
      <c r="B10" t="n">
        <v>0.2075695471853653</v>
      </c>
      <c r="C10" t="n">
        <v>1.013935826516468</v>
      </c>
      <c r="D10" t="n">
        <v>9</v>
      </c>
      <c r="E10" t="n">
        <v>9</v>
      </c>
    </row>
    <row r="11">
      <c r="A11" t="inlineStr">
        <is>
          <t>Adaptive selector (held-out)</t>
        </is>
      </c>
      <c r="B11" t="n">
        <v>0.006058934383805105</v>
      </c>
      <c r="C11" t="n">
        <v>0.1154478083807435</v>
      </c>
      <c r="D11" t="n">
        <v>21</v>
      </c>
      <c r="E11" t="n">
        <v>22</v>
      </c>
    </row>
    <row r="12">
      <c r="A12" t="inlineStr">
        <is>
          <t>Hindsight Best-Policy Benchmark</t>
        </is>
      </c>
      <c r="B12" t="n">
        <v>0</v>
      </c>
      <c r="C12" t="n">
        <v>0</v>
      </c>
      <c r="D12" t="n">
        <v>24</v>
      </c>
      <c r="E12" t="n">
        <v>24</v>
      </c>
    </row>
    <row r="14">
      <c r="A14" s="51" t="inlineStr">
        <is>
          <t>Available headroom (fixed DTT -&gt; hindsight)</t>
        </is>
      </c>
      <c r="B14" t="n">
        <v>0.03018495176809767</v>
      </c>
    </row>
    <row r="15">
      <c r="A15" s="51" t="inlineStr">
        <is>
          <t>Headroom captured (%)</t>
        </is>
      </c>
      <c r="B15" t="n">
        <v>79.92730142372213</v>
      </c>
    </row>
    <row r="16">
      <c r="A16" s="51" t="inlineStr">
        <is>
          <t>Prediction MAE time (s)</t>
        </is>
      </c>
      <c r="B16" t="n">
        <v>44.63256996270027</v>
      </c>
    </row>
    <row r="17">
      <c r="A17" s="51" t="inlineStr">
        <is>
          <t>Prediction RMSE time (s)</t>
        </is>
      </c>
      <c r="B17" t="n">
        <v>79.72881358090093</v>
      </c>
    </row>
    <row r="18">
      <c r="A18" s="51" t="inlineStr">
        <is>
          <t>Prediction MAE CO2 (g)</t>
        </is>
      </c>
      <c r="B18" t="n">
        <v>82.38177268312174</v>
      </c>
    </row>
    <row r="19">
      <c r="A19" s="51" t="inlineStr">
        <is>
          <t>Prediction RMSE CO2 (g)</t>
        </is>
      </c>
      <c r="B19" t="n">
        <v>122.0922817301657</v>
      </c>
    </row>
    <row r="22">
      <c r="A22" s="51" t="inlineStr">
        <is>
          <t>EXTRAPOLATION STRESS TEST (hold out an entire demand regime)</t>
        </is>
      </c>
    </row>
    <row r="23">
      <c r="A23" s="51" t="inlineStr">
        <is>
          <t>Held-out q</t>
        </is>
      </c>
      <c r="B23" s="51" t="inlineStr">
        <is>
          <t>Selector mean regret</t>
        </is>
      </c>
      <c r="C23" s="51" t="inlineStr">
        <is>
          <t>Fixed DTT mean regret</t>
        </is>
      </c>
      <c r="D23" s="51" t="inlineStr">
        <is>
          <t>Selector chose</t>
        </is>
      </c>
    </row>
    <row r="24">
      <c r="A24" t="n">
        <v>720</v>
      </c>
      <c r="B24" t="n">
        <v>0.02456165008523772</v>
      </c>
      <c r="C24" t="n">
        <v>0.0342216650517166</v>
      </c>
      <c r="D24" t="inlineStr">
        <is>
          <t>DTT, TECO10</t>
        </is>
      </c>
    </row>
    <row r="25">
      <c r="A25" t="n">
        <v>1200</v>
      </c>
      <c r="B25" t="n">
        <v>0.05633319025257641</v>
      </c>
      <c r="C25" t="n">
        <v>0.05633319025257641</v>
      </c>
      <c r="D25" t="inlineStr">
        <is>
          <t>DTT</t>
        </is>
      </c>
    </row>
    <row r="26">
      <c r="A26" t="n">
        <v>1680</v>
      </c>
      <c r="B26" t="n">
        <v>0.1485608466431472</v>
      </c>
      <c r="C26" t="n">
        <v>0</v>
      </c>
      <c r="D26" t="inlineStr">
        <is>
          <t>DTT, TECO10</t>
        </is>
      </c>
    </row>
    <row r="27">
      <c r="A27" s="51" t="inlineStr">
        <is>
          <t>POOLED</t>
        </is>
      </c>
      <c r="B27" t="n">
        <v>0.07648522899365377</v>
      </c>
      <c r="C27" t="n">
        <v>0.03018495176809767</v>
      </c>
      <c r="D27" t="inlineStr">
        <is>
          <t>captured -153.4% -&gt; selector WORSE than fixed</t>
        </is>
      </c>
    </row>
    <row r="29">
      <c r="A29" s="51" t="inlineStr">
        <is>
          <t>Per-context held-out decisions</t>
        </is>
      </c>
    </row>
    <row r="30">
      <c r="A30" s="51" t="inlineStr">
        <is>
          <t>Context</t>
        </is>
      </c>
      <c r="B30" s="51" t="inlineStr">
        <is>
          <t>Selected policy</t>
        </is>
      </c>
    </row>
    <row r="31">
      <c r="A31" t="inlineStr">
        <is>
          <t>D001</t>
        </is>
      </c>
      <c r="B31" t="inlineStr">
        <is>
          <t>SP</t>
        </is>
      </c>
    </row>
    <row r="32">
      <c r="A32" t="inlineStr">
        <is>
          <t>D002</t>
        </is>
      </c>
      <c r="B32" t="inlineStr">
        <is>
          <t>SP</t>
        </is>
      </c>
    </row>
    <row r="33">
      <c r="A33" t="inlineStr">
        <is>
          <t>D003</t>
        </is>
      </c>
      <c r="B33" t="inlineStr">
        <is>
          <t>SP</t>
        </is>
      </c>
    </row>
    <row r="34">
      <c r="A34" t="inlineStr">
        <is>
          <t>D004</t>
        </is>
      </c>
      <c r="B34" t="inlineStr">
        <is>
          <t>SP</t>
        </is>
      </c>
    </row>
    <row r="35">
      <c r="A35" t="inlineStr">
        <is>
          <t>D005</t>
        </is>
      </c>
      <c r="B35" t="inlineStr">
        <is>
          <t>SP</t>
        </is>
      </c>
    </row>
    <row r="36">
      <c r="A36" t="inlineStr">
        <is>
          <t>D006</t>
        </is>
      </c>
      <c r="B36" t="inlineStr">
        <is>
          <t>SP</t>
        </is>
      </c>
    </row>
    <row r="37">
      <c r="A37" t="inlineStr">
        <is>
          <t>D007</t>
        </is>
      </c>
      <c r="B37" t="inlineStr">
        <is>
          <t>SP</t>
        </is>
      </c>
    </row>
    <row r="38">
      <c r="A38" t="inlineStr">
        <is>
          <t>D008</t>
        </is>
      </c>
      <c r="B38" t="inlineStr">
        <is>
          <t>SP</t>
        </is>
      </c>
    </row>
    <row r="39">
      <c r="A39" t="inlineStr">
        <is>
          <t>D009</t>
        </is>
      </c>
      <c r="B39" t="inlineStr">
        <is>
          <t>DTT</t>
        </is>
      </c>
    </row>
    <row r="40">
      <c r="A40" t="inlineStr">
        <is>
          <t>D010</t>
        </is>
      </c>
      <c r="B40" t="inlineStr">
        <is>
          <t>TECO10</t>
        </is>
      </c>
    </row>
    <row r="41">
      <c r="A41" t="inlineStr">
        <is>
          <t>D011</t>
        </is>
      </c>
      <c r="B41" t="inlineStr">
        <is>
          <t>DTT</t>
        </is>
      </c>
    </row>
    <row r="42">
      <c r="A42" t="inlineStr">
        <is>
          <t>D012</t>
        </is>
      </c>
      <c r="B42" t="inlineStr">
        <is>
          <t>TECO10</t>
        </is>
      </c>
    </row>
    <row r="43">
      <c r="A43" t="inlineStr">
        <is>
          <t>D013</t>
        </is>
      </c>
      <c r="B43" t="inlineStr">
        <is>
          <t>DTT</t>
        </is>
      </c>
    </row>
    <row r="44">
      <c r="A44" t="inlineStr">
        <is>
          <t>D014</t>
        </is>
      </c>
      <c r="B44" t="inlineStr">
        <is>
          <t>SP</t>
        </is>
      </c>
    </row>
    <row r="45">
      <c r="A45" t="inlineStr">
        <is>
          <t>D015</t>
        </is>
      </c>
      <c r="B45" t="inlineStr">
        <is>
          <t>DTT</t>
        </is>
      </c>
    </row>
    <row r="46">
      <c r="A46" t="inlineStr">
        <is>
          <t>D016</t>
        </is>
      </c>
      <c r="B46" t="inlineStr">
        <is>
          <t>TECO10</t>
        </is>
      </c>
    </row>
    <row r="47">
      <c r="A47" t="inlineStr">
        <is>
          <t>D017</t>
        </is>
      </c>
      <c r="B47" t="inlineStr">
        <is>
          <t>DTT</t>
        </is>
      </c>
    </row>
    <row r="48">
      <c r="A48" t="inlineStr">
        <is>
          <t>D018</t>
        </is>
      </c>
      <c r="B48" t="inlineStr">
        <is>
          <t>DTT</t>
        </is>
      </c>
    </row>
    <row r="49">
      <c r="A49" t="inlineStr">
        <is>
          <t>D019</t>
        </is>
      </c>
      <c r="B49" t="inlineStr">
        <is>
          <t>DTT</t>
        </is>
      </c>
    </row>
    <row r="50">
      <c r="A50" t="inlineStr">
        <is>
          <t>D020</t>
        </is>
      </c>
      <c r="B50" t="inlineStr">
        <is>
          <t>DTT</t>
        </is>
      </c>
    </row>
    <row r="51">
      <c r="A51" t="inlineStr">
        <is>
          <t>D021</t>
        </is>
      </c>
      <c r="B51" t="inlineStr">
        <is>
          <t>DTT</t>
        </is>
      </c>
    </row>
    <row r="52">
      <c r="A52" t="inlineStr">
        <is>
          <t>D022</t>
        </is>
      </c>
      <c r="B52" t="inlineStr">
        <is>
          <t>DTT</t>
        </is>
      </c>
    </row>
    <row r="53">
      <c r="A53" t="inlineStr">
        <is>
          <t>D023</t>
        </is>
      </c>
      <c r="B53" t="inlineStr">
        <is>
          <t>DTT</t>
        </is>
      </c>
    </row>
    <row r="54">
      <c r="A54" t="inlineStr">
        <is>
          <t>D024</t>
        </is>
      </c>
      <c r="B54" t="inlineStr">
        <is>
          <t>DTT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C14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22" customWidth="1" min="3" max="3"/>
    <col width="18" customWidth="1" min="4" max="4"/>
    <col width="18" customWidth="1" min="5" max="5"/>
    <col width="26" customWidth="1" min="6" max="6"/>
  </cols>
  <sheetData>
    <row r="2">
      <c r="A2" s="50" t="inlineStr">
        <is>
          <t>Audited negative controls</t>
        </is>
      </c>
    </row>
    <row r="4">
      <c r="A4" t="inlineStr">
        <is>
          <t>Retained, not deleted. These delimit what the positive result means.</t>
        </is>
      </c>
    </row>
    <row r="7">
      <c r="A7" s="51" t="inlineStr">
        <is>
          <t>Control</t>
        </is>
      </c>
      <c r="B7" s="51" t="inlineStr">
        <is>
          <t>Observed value</t>
        </is>
      </c>
      <c r="C7" s="51" t="inlineStr">
        <is>
          <t>Interpretation</t>
        </is>
      </c>
    </row>
    <row r="8">
      <c r="A8" t="inlineStr">
        <is>
          <t>ECO outcome-identical to SP</t>
        </is>
      </c>
      <c r="B8" t="inlineStr">
        <is>
          <t>21/24 contexts</t>
        </is>
      </c>
      <c r="C8" t="inlineStr">
        <is>
          <t>No independent environmental decision dimension; ECO removed from portfolio</t>
        </is>
      </c>
    </row>
    <row r="9">
      <c r="A9" t="inlineStr">
        <is>
          <t>Observer route-order selection loss</t>
        </is>
      </c>
      <c r="B9" t="inlineStr">
        <is>
          <t>21.62%</t>
        </is>
      </c>
      <c r="C9" t="inlineStr">
        <is>
          <t>Fails declared 10% screen despite 14.71% aggregate WAPE</t>
        </is>
      </c>
    </row>
    <row r="10">
      <c r="A10" t="inlineStr">
        <is>
          <t>Observer best-route hits</t>
        </is>
      </c>
      <c r="B10" t="inlineStr">
        <is>
          <t>3/8 panels</t>
        </is>
      </c>
      <c r="C10" t="inlineStr">
        <is>
          <t>Good average prediction did not confer correct ranking</t>
        </is>
      </c>
    </row>
    <row r="11">
      <c r="A11" t="inlineStr">
        <is>
          <t>Selector decisions across w_time 0..1</t>
        </is>
      </c>
      <c r="B11" t="inlineStr">
        <is>
          <t>identical in all 24 contexts</t>
        </is>
      </c>
      <c r="C11" t="inlineStr">
        <is>
          <t>Preference layer is near-inert; regime pattern is NOT a weight artefact</t>
        </is>
      </c>
    </row>
    <row r="12">
      <c r="A12" t="inlineStr">
        <is>
          <t>Hindsight label change across weights</t>
        </is>
      </c>
      <c r="B12" t="inlineStr">
        <is>
          <t>1/24 contexts (D011)</t>
        </is>
      </c>
      <c r="C12" t="inlineStr">
        <is>
          <t>Only at the pure-emissions extreme</t>
        </is>
      </c>
    </row>
    <row r="13">
      <c r="A13" t="inlineStr">
        <is>
          <t>Insertion-boundary winner flips</t>
        </is>
      </c>
      <c r="B13" t="inlineStr">
        <is>
          <t>0/24 contexts</t>
        </is>
      </c>
      <c r="C13" t="inlineStr">
        <is>
          <t>Regime structure not an artefact of the emission accounting boundary</t>
        </is>
      </c>
    </row>
    <row r="14">
      <c r="A14" t="inlineStr">
        <is>
          <t>Pilot adaptive headroom</t>
        </is>
      </c>
      <c r="B14" t="inlineStr">
        <is>
          <t>0 (DTT best in 30/30)</t>
        </is>
      </c>
      <c r="C14" t="inlineStr">
        <is>
          <t>Earlier environment had no regime reversal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2026-09-21T13:51:53Z</dcterms:created>
  <dcterms:modified xsi:type="dcterms:W3CDTF">2026-09-21T13:51:53Z</dcterms:modified>
</cp:coreProperties>
</file>